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Validation" sheetId="2" state="visible" r:id="rId2"/>
    <sheet xmlns:r="http://schemas.openxmlformats.org/officeDocument/2006/relationships" name="Summary" sheetId="3" state="visible" r:id="rId3"/>
  </sheets>
  <definedNames>
    <definedName name="_xlnm._FilterDatabase" localSheetId="1" hidden="1">'Validation'!$A$1:$J$250</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b val="1"/>
      <color rgb="001F4E79"/>
      <sz val="16"/>
    </font>
    <font>
      <b val="1"/>
      <color rgb="001F4E79"/>
      <sz val="13"/>
    </font>
    <font>
      <b val="1"/>
      <color rgb="00C00000"/>
    </font>
    <font>
      <b val="1"/>
      <color rgb="00FFFFFF"/>
      <sz val="11"/>
    </font>
    <font>
      <color rgb="000563C1"/>
      <u val="single"/>
    </font>
    <font>
      <b val="1"/>
      <color rgb="001F4E79"/>
      <sz val="14"/>
    </font>
    <font>
      <b val="1"/>
    </font>
  </fonts>
  <fills count="4">
    <fill>
      <patternFill/>
    </fill>
    <fill>
      <patternFill patternType="gray125"/>
    </fill>
    <fill>
      <patternFill patternType="solid">
        <fgColor rgb="001F4E79"/>
        <bgColor rgb="001F4E79"/>
      </patternFill>
    </fill>
    <fill>
      <patternFill patternType="solid">
        <fgColor rgb="00F2F7FB"/>
        <bgColor rgb="00F2F7FB"/>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3" borderId="1" applyAlignment="1" pivotButton="0" quotePrefix="0" xfId="0">
      <alignment vertical="top"/>
    </xf>
    <xf numFmtId="0" fontId="5" fillId="3" borderId="1" applyAlignment="1" pivotButton="0" quotePrefix="0" xfId="0">
      <alignment vertical="top"/>
    </xf>
    <xf numFmtId="0" fontId="0" fillId="3" borderId="1" applyAlignment="1" pivotButton="0" quotePrefix="0" xfId="0">
      <alignment vertical="top" wrapText="1"/>
    </xf>
    <xf numFmtId="0" fontId="0" fillId="0" borderId="1" applyAlignment="1" pivotButton="0" quotePrefix="0" xfId="0">
      <alignment vertical="top"/>
    </xf>
    <xf numFmtId="0" fontId="5" fillId="0" borderId="1" applyAlignment="1" pivotButton="0" quotePrefix="0" xfId="0">
      <alignment vertical="top"/>
    </xf>
    <xf numFmtId="0" fontId="0" fillId="0" borderId="1" applyAlignment="1" pivotButton="0" quotePrefix="0" xfId="0">
      <alignment vertical="top" wrapText="1"/>
    </xf>
    <xf numFmtId="0" fontId="6" fillId="0" borderId="0" pivotButton="0" quotePrefix="0" xfId="0"/>
    <xf numFmtId="0" fontId="7"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zenodo.org/records/3998075" TargetMode="External" Id="rId1"/><Relationship Type="http://schemas.openxmlformats.org/officeDocument/2006/relationships/hyperlink" Target="https://zenodo.org/records/12779552" TargetMode="External" Id="rId2"/><Relationship Type="http://schemas.openxmlformats.org/officeDocument/2006/relationships/hyperlink" Target="https://zenodo.org/records/14904395" TargetMode="External" Id="rId3"/><Relationship Type="http://schemas.openxmlformats.org/officeDocument/2006/relationships/hyperlink" Target="https://zenodo.org/records/13941470" TargetMode="External" Id="rId4"/><Relationship Type="http://schemas.openxmlformats.org/officeDocument/2006/relationships/hyperlink" Target="https://zenodo.org/records/6640302" TargetMode="External" Id="rId5"/><Relationship Type="http://schemas.openxmlformats.org/officeDocument/2006/relationships/hyperlink" Target="https://zenodo.org/records/7613175" TargetMode="External" Id="rId6"/><Relationship Type="http://schemas.openxmlformats.org/officeDocument/2006/relationships/hyperlink" Target="https://zenodo.org/records/13759203" TargetMode="External" Id="rId7"/><Relationship Type="http://schemas.openxmlformats.org/officeDocument/2006/relationships/hyperlink" Target="https://zenodo.org/records/4985378" TargetMode="External" Id="rId8"/><Relationship Type="http://schemas.openxmlformats.org/officeDocument/2006/relationships/hyperlink" Target="https://zenodo.org/records/14793518" TargetMode="External" Id="rId9"/><Relationship Type="http://schemas.openxmlformats.org/officeDocument/2006/relationships/hyperlink" Target="https://zenodo.org/records/6616655" TargetMode="External" Id="rId10"/><Relationship Type="http://schemas.openxmlformats.org/officeDocument/2006/relationships/hyperlink" Target="https://zenodo.org/records/5790134" TargetMode="External" Id="rId11"/><Relationship Type="http://schemas.openxmlformats.org/officeDocument/2006/relationships/hyperlink" Target="https://zenodo.org/records/4994446" TargetMode="External" Id="rId12"/><Relationship Type="http://schemas.openxmlformats.org/officeDocument/2006/relationships/hyperlink" Target="https://zenodo.org/records/10839556" TargetMode="External" Id="rId13"/><Relationship Type="http://schemas.openxmlformats.org/officeDocument/2006/relationships/hyperlink" Target="https://zenodo.org/records/6938457" TargetMode="External" Id="rId14"/><Relationship Type="http://schemas.openxmlformats.org/officeDocument/2006/relationships/hyperlink" Target="https://zenodo.org/records/5004956" TargetMode="External" Id="rId15"/><Relationship Type="http://schemas.openxmlformats.org/officeDocument/2006/relationships/hyperlink" Target="https://zenodo.org/records/8287928" TargetMode="External" Id="rId16"/><Relationship Type="http://schemas.openxmlformats.org/officeDocument/2006/relationships/hyperlink" Target="https://zenodo.org/records/4980474" TargetMode="External" Id="rId17"/><Relationship Type="http://schemas.openxmlformats.org/officeDocument/2006/relationships/hyperlink" Target="https://zenodo.org/records/4005629" TargetMode="External" Id="rId18"/><Relationship Type="http://schemas.openxmlformats.org/officeDocument/2006/relationships/hyperlink" Target="https://zenodo.org/records/7700430" TargetMode="External" Id="rId19"/><Relationship Type="http://schemas.openxmlformats.org/officeDocument/2006/relationships/hyperlink" Target="https://zenodo.org/records/10716020" TargetMode="External" Id="rId20"/><Relationship Type="http://schemas.openxmlformats.org/officeDocument/2006/relationships/hyperlink" Target="https://zenodo.org/records/16884175" TargetMode="External" Id="rId21"/><Relationship Type="http://schemas.openxmlformats.org/officeDocument/2006/relationships/hyperlink" Target="https://zenodo.org/records/14902991" TargetMode="External" Id="rId22"/><Relationship Type="http://schemas.openxmlformats.org/officeDocument/2006/relationships/hyperlink" Target="https://zenodo.org/records/5000442" TargetMode="External" Id="rId23"/><Relationship Type="http://schemas.openxmlformats.org/officeDocument/2006/relationships/hyperlink" Target="https://zenodo.org/records/4994030" TargetMode="External" Id="rId24"/><Relationship Type="http://schemas.openxmlformats.org/officeDocument/2006/relationships/hyperlink" Target="https://zenodo.org/records/17331204" TargetMode="External" Id="rId25"/><Relationship Type="http://schemas.openxmlformats.org/officeDocument/2006/relationships/hyperlink" Target="https://zenodo.org/records/3626854" TargetMode="External" Id="rId26"/><Relationship Type="http://schemas.openxmlformats.org/officeDocument/2006/relationships/hyperlink" Target="https://zenodo.org/records/10148752" TargetMode="External" Id="rId27"/><Relationship Type="http://schemas.openxmlformats.org/officeDocument/2006/relationships/hyperlink" Target="https://zenodo.org/records/5851573" TargetMode="External" Id="rId28"/><Relationship Type="http://schemas.openxmlformats.org/officeDocument/2006/relationships/hyperlink" Target="https://zenodo.org/records/7607895" TargetMode="External" Id="rId29"/><Relationship Type="http://schemas.openxmlformats.org/officeDocument/2006/relationships/hyperlink" Target="https://zenodo.org/records/7823476" TargetMode="External" Id="rId30"/><Relationship Type="http://schemas.openxmlformats.org/officeDocument/2006/relationships/hyperlink" Target="https://zenodo.org/records/17187000" TargetMode="External" Id="rId31"/><Relationship Type="http://schemas.openxmlformats.org/officeDocument/2006/relationships/hyperlink" Target="https://zenodo.org/records/10390573" TargetMode="External" Id="rId32"/><Relationship Type="http://schemas.openxmlformats.org/officeDocument/2006/relationships/hyperlink" Target="https://zenodo.org/records/6970361" TargetMode="External" Id="rId33"/><Relationship Type="http://schemas.openxmlformats.org/officeDocument/2006/relationships/hyperlink" Target="https://zenodo.org/records/7641708" TargetMode="External" Id="rId34"/><Relationship Type="http://schemas.openxmlformats.org/officeDocument/2006/relationships/hyperlink" Target="https://zenodo.org/records/17657914" TargetMode="External" Id="rId35"/><Relationship Type="http://schemas.openxmlformats.org/officeDocument/2006/relationships/hyperlink" Target="https://zenodo.org/records/14864106" TargetMode="External" Id="rId36"/><Relationship Type="http://schemas.openxmlformats.org/officeDocument/2006/relationships/hyperlink" Target="https://zenodo.org/records/7769863" TargetMode="External" Id="rId37"/><Relationship Type="http://schemas.openxmlformats.org/officeDocument/2006/relationships/hyperlink" Target="https://zenodo.org/records/17469897" TargetMode="External" Id="rId38"/><Relationship Type="http://schemas.openxmlformats.org/officeDocument/2006/relationships/hyperlink" Target="https://zenodo.org/records/12646034" TargetMode="External" Id="rId39"/><Relationship Type="http://schemas.openxmlformats.org/officeDocument/2006/relationships/hyperlink" Target="https://zenodo.org/records/7651771" TargetMode="External" Id="rId40"/><Relationship Type="http://schemas.openxmlformats.org/officeDocument/2006/relationships/hyperlink" Target="https://zenodo.org/records/13807817" TargetMode="External" Id="rId41"/><Relationship Type="http://schemas.openxmlformats.org/officeDocument/2006/relationships/hyperlink" Target="https://zenodo.org/records/4976257" TargetMode="External" Id="rId42"/><Relationship Type="http://schemas.openxmlformats.org/officeDocument/2006/relationships/hyperlink" Target="https://zenodo.org/records/3832094" TargetMode="External" Id="rId43"/><Relationship Type="http://schemas.openxmlformats.org/officeDocument/2006/relationships/hyperlink" Target="https://zenodo.org/records/17940261" TargetMode="External" Id="rId44"/><Relationship Type="http://schemas.openxmlformats.org/officeDocument/2006/relationships/hyperlink" Target="https://zenodo.org/records/17432128" TargetMode="External" Id="rId45"/><Relationship Type="http://schemas.openxmlformats.org/officeDocument/2006/relationships/hyperlink" Target="https://zenodo.org/records/56515" TargetMode="External" Id="rId46"/><Relationship Type="http://schemas.openxmlformats.org/officeDocument/2006/relationships/hyperlink" Target="https://zenodo.org/records/7865364" TargetMode="External" Id="rId47"/><Relationship Type="http://schemas.openxmlformats.org/officeDocument/2006/relationships/hyperlink" Target="https://zenodo.org/records/3902832" TargetMode="External" Id="rId48"/><Relationship Type="http://schemas.openxmlformats.org/officeDocument/2006/relationships/hyperlink" Target="https://zenodo.org/records/16744782" TargetMode="External" Id="rId49"/><Relationship Type="http://schemas.openxmlformats.org/officeDocument/2006/relationships/hyperlink" Target="https://zenodo.org/records/8271091" TargetMode="External" Id="rId50"/><Relationship Type="http://schemas.openxmlformats.org/officeDocument/2006/relationships/hyperlink" Target="https://zenodo.org/records/6378171" TargetMode="External" Id="rId51"/><Relationship Type="http://schemas.openxmlformats.org/officeDocument/2006/relationships/hyperlink" Target="https://zenodo.org/records/3627901" TargetMode="External" Id="rId52"/><Relationship Type="http://schemas.openxmlformats.org/officeDocument/2006/relationships/hyperlink" Target="https://zenodo.org/records/7626001" TargetMode="External" Id="rId53"/><Relationship Type="http://schemas.openxmlformats.org/officeDocument/2006/relationships/hyperlink" Target="https://zenodo.org/records/7650286" TargetMode="External" Id="rId54"/><Relationship Type="http://schemas.openxmlformats.org/officeDocument/2006/relationships/hyperlink" Target="https://zenodo.org/records/17408396" TargetMode="External" Id="rId55"/><Relationship Type="http://schemas.openxmlformats.org/officeDocument/2006/relationships/hyperlink" Target="https://zenodo.org/records/11091057" TargetMode="External" Id="rId56"/><Relationship Type="http://schemas.openxmlformats.org/officeDocument/2006/relationships/hyperlink" Target="https://zenodo.org/records/4967771" TargetMode="External" Id="rId57"/><Relationship Type="http://schemas.openxmlformats.org/officeDocument/2006/relationships/hyperlink" Target="https://zenodo.org/records/4970545" TargetMode="External" Id="rId58"/><Relationship Type="http://schemas.openxmlformats.org/officeDocument/2006/relationships/hyperlink" Target="https://zenodo.org/records/4957619" TargetMode="External" Id="rId59"/><Relationship Type="http://schemas.openxmlformats.org/officeDocument/2006/relationships/hyperlink" Target="https://zenodo.org/records/4462320" TargetMode="External" Id="rId60"/><Relationship Type="http://schemas.openxmlformats.org/officeDocument/2006/relationships/hyperlink" Target="https://zenodo.org/records/7604083" TargetMode="External" Id="rId61"/><Relationship Type="http://schemas.openxmlformats.org/officeDocument/2006/relationships/hyperlink" Target="https://zenodo.org/records/7566797" TargetMode="External" Id="rId62"/><Relationship Type="http://schemas.openxmlformats.org/officeDocument/2006/relationships/hyperlink" Target="https://zenodo.org/records/7505822" TargetMode="External" Id="rId63"/><Relationship Type="http://schemas.openxmlformats.org/officeDocument/2006/relationships/hyperlink" Target="https://zenodo.org/records/14900801" TargetMode="External" Id="rId64"/><Relationship Type="http://schemas.openxmlformats.org/officeDocument/2006/relationships/hyperlink" Target="https://zenodo.org/records/7683399" TargetMode="External" Id="rId65"/><Relationship Type="http://schemas.openxmlformats.org/officeDocument/2006/relationships/hyperlink" Target="https://zenodo.org/records/4934690" TargetMode="External" Id="rId66"/><Relationship Type="http://schemas.openxmlformats.org/officeDocument/2006/relationships/hyperlink" Target="https://zenodo.org/records/4955990" TargetMode="External" Id="rId67"/><Relationship Type="http://schemas.openxmlformats.org/officeDocument/2006/relationships/hyperlink" Target="https://zenodo.org/records/13916845" TargetMode="External" Id="rId68"/><Relationship Type="http://schemas.openxmlformats.org/officeDocument/2006/relationships/hyperlink" Target="https://zenodo.org/records/15054026" TargetMode="External" Id="rId69"/><Relationship Type="http://schemas.openxmlformats.org/officeDocument/2006/relationships/hyperlink" Target="https://zenodo.org/records/7576894" TargetMode="External" Id="rId70"/><Relationship Type="http://schemas.openxmlformats.org/officeDocument/2006/relationships/hyperlink" Target="https://zenodo.org/records/7113948" TargetMode="External" Id="rId71"/><Relationship Type="http://schemas.openxmlformats.org/officeDocument/2006/relationships/hyperlink" Target="https://zenodo.org/records/8289533" TargetMode="External" Id="rId72"/><Relationship Type="http://schemas.openxmlformats.org/officeDocument/2006/relationships/hyperlink" Target="https://zenodo.org/records/6590774" TargetMode="External" Id="rId73"/><Relationship Type="http://schemas.openxmlformats.org/officeDocument/2006/relationships/hyperlink" Target="https://zenodo.org/records/14903226" TargetMode="External" Id="rId74"/><Relationship Type="http://schemas.openxmlformats.org/officeDocument/2006/relationships/hyperlink" Target="https://zenodo.org/records/13857013" TargetMode="External" Id="rId75"/><Relationship Type="http://schemas.openxmlformats.org/officeDocument/2006/relationships/hyperlink" Target="https://zenodo.org/records/17219542" TargetMode="External" Id="rId76"/><Relationship Type="http://schemas.openxmlformats.org/officeDocument/2006/relationships/hyperlink" Target="https://zenodo.org/records/7604075" TargetMode="External" Id="rId77"/><Relationship Type="http://schemas.openxmlformats.org/officeDocument/2006/relationships/hyperlink" Target="https://zenodo.org/records/5111972" TargetMode="External" Id="rId78"/><Relationship Type="http://schemas.openxmlformats.org/officeDocument/2006/relationships/hyperlink" Target="https://zenodo.org/records/7779499" TargetMode="External" Id="rId79"/><Relationship Type="http://schemas.openxmlformats.org/officeDocument/2006/relationships/hyperlink" Target="https://zenodo.org/records/13625812" TargetMode="External" Id="rId80"/><Relationship Type="http://schemas.openxmlformats.org/officeDocument/2006/relationships/hyperlink" Target="https://zenodo.org/records/14926762" TargetMode="External" Id="rId81"/><Relationship Type="http://schemas.openxmlformats.org/officeDocument/2006/relationships/hyperlink" Target="https://zenodo.org/records/5592621" TargetMode="External" Id="rId82"/><Relationship Type="http://schemas.openxmlformats.org/officeDocument/2006/relationships/hyperlink" Target="https://zenodo.org/records/17298706" TargetMode="External" Id="rId83"/><Relationship Type="http://schemas.openxmlformats.org/officeDocument/2006/relationships/hyperlink" Target="https://zenodo.org/records/8009107" TargetMode="External" Id="rId84"/><Relationship Type="http://schemas.openxmlformats.org/officeDocument/2006/relationships/hyperlink" Target="https://zenodo.org/records/14903857" TargetMode="External" Id="rId85"/><Relationship Type="http://schemas.openxmlformats.org/officeDocument/2006/relationships/hyperlink" Target="https://zenodo.org/records/7592834" TargetMode="External" Id="rId86"/><Relationship Type="http://schemas.openxmlformats.org/officeDocument/2006/relationships/hyperlink" Target="https://zenodo.org/records/4707752" TargetMode="External" Id="rId87"/><Relationship Type="http://schemas.openxmlformats.org/officeDocument/2006/relationships/hyperlink" Target="https://zenodo.org/records/8254022" TargetMode="External" Id="rId88"/><Relationship Type="http://schemas.openxmlformats.org/officeDocument/2006/relationships/hyperlink" Target="https://zenodo.org/records/7811860" TargetMode="External" Id="rId89"/><Relationship Type="http://schemas.openxmlformats.org/officeDocument/2006/relationships/hyperlink" Target="https://zenodo.org/records/8212083" TargetMode="External" Id="rId90"/><Relationship Type="http://schemas.openxmlformats.org/officeDocument/2006/relationships/hyperlink" Target="https://zenodo.org/records/15288631" TargetMode="External" Id="rId91"/><Relationship Type="http://schemas.openxmlformats.org/officeDocument/2006/relationships/hyperlink" Target="https://zenodo.org/records/4962379" TargetMode="External" Id="rId92"/><Relationship Type="http://schemas.openxmlformats.org/officeDocument/2006/relationships/hyperlink" Target="https://zenodo.org/records/5002837" TargetMode="External" Id="rId93"/><Relationship Type="http://schemas.openxmlformats.org/officeDocument/2006/relationships/hyperlink" Target="https://zenodo.org/records/7358284" TargetMode="External" Id="rId94"/><Relationship Type="http://schemas.openxmlformats.org/officeDocument/2006/relationships/hyperlink" Target="https://zenodo.org/records/4992944" TargetMode="External" Id="rId95"/><Relationship Type="http://schemas.openxmlformats.org/officeDocument/2006/relationships/hyperlink" Target="https://zenodo.org/records/12703870" TargetMode="External" Id="rId96"/><Relationship Type="http://schemas.openxmlformats.org/officeDocument/2006/relationships/hyperlink" Target="https://zenodo.org/records/5030552" TargetMode="External" Id="rId97"/><Relationship Type="http://schemas.openxmlformats.org/officeDocument/2006/relationships/hyperlink" Target="https://zenodo.org/records/5025464" TargetMode="External" Id="rId98"/><Relationship Type="http://schemas.openxmlformats.org/officeDocument/2006/relationships/hyperlink" Target="https://zenodo.org/records/14305302" TargetMode="External" Id="rId99"/><Relationship Type="http://schemas.openxmlformats.org/officeDocument/2006/relationships/hyperlink" Target="https://zenodo.org/records/5336592" TargetMode="External" Id="rId100"/><Relationship Type="http://schemas.openxmlformats.org/officeDocument/2006/relationships/hyperlink" Target="https://zenodo.org/records/14906752" TargetMode="External" Id="rId101"/><Relationship Type="http://schemas.openxmlformats.org/officeDocument/2006/relationships/hyperlink" Target="https://zenodo.org/records/8162076" TargetMode="External" Id="rId102"/><Relationship Type="http://schemas.openxmlformats.org/officeDocument/2006/relationships/hyperlink" Target="https://zenodo.org/records/7652264" TargetMode="External" Id="rId103"/><Relationship Type="http://schemas.openxmlformats.org/officeDocument/2006/relationships/hyperlink" Target="https://zenodo.org/records/10078774" TargetMode="External" Id="rId104"/><Relationship Type="http://schemas.openxmlformats.org/officeDocument/2006/relationships/hyperlink" Target="https://zenodo.org/records/17167948" TargetMode="External" Id="rId105"/><Relationship Type="http://schemas.openxmlformats.org/officeDocument/2006/relationships/hyperlink" Target="https://zenodo.org/records/15389616" TargetMode="External" Id="rId106"/><Relationship Type="http://schemas.openxmlformats.org/officeDocument/2006/relationships/hyperlink" Target="https://zenodo.org/records/7576898" TargetMode="External" Id="rId107"/><Relationship Type="http://schemas.openxmlformats.org/officeDocument/2006/relationships/hyperlink" Target="https://zenodo.org/records/292994" TargetMode="External" Id="rId108"/><Relationship Type="http://schemas.openxmlformats.org/officeDocument/2006/relationships/hyperlink" Target="https://zenodo.org/records/14754838" TargetMode="External" Id="rId109"/><Relationship Type="http://schemas.openxmlformats.org/officeDocument/2006/relationships/hyperlink" Target="https://zenodo.org/records/18250216" TargetMode="External" Id="rId110"/><Relationship Type="http://schemas.openxmlformats.org/officeDocument/2006/relationships/hyperlink" Target="https://zenodo.org/records/14293638" TargetMode="External" Id="rId111"/><Relationship Type="http://schemas.openxmlformats.org/officeDocument/2006/relationships/hyperlink" Target="https://zenodo.org/records/5009403" TargetMode="External" Id="rId112"/><Relationship Type="http://schemas.openxmlformats.org/officeDocument/2006/relationships/hyperlink" Target="https://zenodo.org/records/7448405" TargetMode="External" Id="rId113"/><Relationship Type="http://schemas.openxmlformats.org/officeDocument/2006/relationships/hyperlink" Target="https://zenodo.org/records/14478210" TargetMode="External" Id="rId114"/><Relationship Type="http://schemas.openxmlformats.org/officeDocument/2006/relationships/hyperlink" Target="https://zenodo.org/records/11428245" TargetMode="External" Id="rId115"/><Relationship Type="http://schemas.openxmlformats.org/officeDocument/2006/relationships/hyperlink" Target="https://zenodo.org/records/7570583" TargetMode="External" Id="rId116"/><Relationship Type="http://schemas.openxmlformats.org/officeDocument/2006/relationships/hyperlink" Target="https://zenodo.org/records/8063221" TargetMode="External" Id="rId117"/><Relationship Type="http://schemas.openxmlformats.org/officeDocument/2006/relationships/hyperlink" Target="https://zenodo.org/records/17708044" TargetMode="External" Id="rId118"/><Relationship Type="http://schemas.openxmlformats.org/officeDocument/2006/relationships/hyperlink" Target="https://zenodo.org/records/7647714" TargetMode="External" Id="rId119"/><Relationship Type="http://schemas.openxmlformats.org/officeDocument/2006/relationships/hyperlink" Target="https://zenodo.org/records/7949582" TargetMode="External" Id="rId120"/><Relationship Type="http://schemas.openxmlformats.org/officeDocument/2006/relationships/hyperlink" Target="https://zenodo.org/records/7650858" TargetMode="External" Id="rId121"/><Relationship Type="http://schemas.openxmlformats.org/officeDocument/2006/relationships/hyperlink" Target="https://zenodo.org/records/1137746" TargetMode="External" Id="rId122"/><Relationship Type="http://schemas.openxmlformats.org/officeDocument/2006/relationships/hyperlink" Target="https://zenodo.org/records/7641724" TargetMode="External" Id="rId123"/><Relationship Type="http://schemas.openxmlformats.org/officeDocument/2006/relationships/hyperlink" Target="https://zenodo.org/records/4185955" TargetMode="External" Id="rId124"/><Relationship Type="http://schemas.openxmlformats.org/officeDocument/2006/relationships/hyperlink" Target="https://zenodo.org/records/6506353" TargetMode="External" Id="rId125"/><Relationship Type="http://schemas.openxmlformats.org/officeDocument/2006/relationships/hyperlink" Target="https://zenodo.org/records/15115542" TargetMode="External" Id="rId126"/><Relationship Type="http://schemas.openxmlformats.org/officeDocument/2006/relationships/hyperlink" Target="https://zenodo.org/records/5227301" TargetMode="External" Id="rId127"/><Relationship Type="http://schemas.openxmlformats.org/officeDocument/2006/relationships/hyperlink" Target="https://zenodo.org/records/14822997" TargetMode="External" Id="rId128"/><Relationship Type="http://schemas.openxmlformats.org/officeDocument/2006/relationships/hyperlink" Target="https://zenodo.org/records/16883916" TargetMode="External" Id="rId129"/><Relationship Type="http://schemas.openxmlformats.org/officeDocument/2006/relationships/hyperlink" Target="https://zenodo.org/records/4950918" TargetMode="External" Id="rId130"/><Relationship Type="http://schemas.openxmlformats.org/officeDocument/2006/relationships/hyperlink" Target="https://zenodo.org/records/7604077" TargetMode="External" Id="rId131"/><Relationship Type="http://schemas.openxmlformats.org/officeDocument/2006/relationships/hyperlink" Target="https://zenodo.org/records/3820402" TargetMode="External" Id="rId132"/><Relationship Type="http://schemas.openxmlformats.org/officeDocument/2006/relationships/hyperlink" Target="https://zenodo.org/records/14907522" TargetMode="External" Id="rId133"/><Relationship Type="http://schemas.openxmlformats.org/officeDocument/2006/relationships/hyperlink" Target="https://zenodo.org/records/17335521" TargetMode="External" Id="rId134"/><Relationship Type="http://schemas.openxmlformats.org/officeDocument/2006/relationships/hyperlink" Target="https://zenodo.org/records/17103009" TargetMode="External" Id="rId135"/><Relationship Type="http://schemas.openxmlformats.org/officeDocument/2006/relationships/hyperlink" Target="https://zenodo.org/records/14906032" TargetMode="External" Id="rId136"/><Relationship Type="http://schemas.openxmlformats.org/officeDocument/2006/relationships/hyperlink" Target="https://zenodo.org/records/17958965" TargetMode="External" Id="rId137"/><Relationship Type="http://schemas.openxmlformats.org/officeDocument/2006/relationships/hyperlink" Target="https://zenodo.org/records/8125822" TargetMode="External" Id="rId138"/><Relationship Type="http://schemas.openxmlformats.org/officeDocument/2006/relationships/hyperlink" Target="https://zenodo.org/records/7557072" TargetMode="External" Id="rId139"/><Relationship Type="http://schemas.openxmlformats.org/officeDocument/2006/relationships/hyperlink" Target="https://zenodo.org/records/8213443" TargetMode="External" Id="rId140"/><Relationship Type="http://schemas.openxmlformats.org/officeDocument/2006/relationships/hyperlink" Target="https://zenodo.org/records/7957454" TargetMode="External" Id="rId141"/><Relationship Type="http://schemas.openxmlformats.org/officeDocument/2006/relationships/hyperlink" Target="https://zenodo.org/records/7476775" TargetMode="External" Id="rId142"/><Relationship Type="http://schemas.openxmlformats.org/officeDocument/2006/relationships/hyperlink" Target="https://zenodo.org/records/15105761" TargetMode="External" Id="rId143"/><Relationship Type="http://schemas.openxmlformats.org/officeDocument/2006/relationships/hyperlink" Target="https://zenodo.org/records/4299195" TargetMode="External" Id="rId144"/><Relationship Type="http://schemas.openxmlformats.org/officeDocument/2006/relationships/hyperlink" Target="https://zenodo.org/records/14847200" TargetMode="External" Id="rId145"/><Relationship Type="http://schemas.openxmlformats.org/officeDocument/2006/relationships/hyperlink" Target="https://zenodo.org/records/14918858" TargetMode="External" Id="rId146"/><Relationship Type="http://schemas.openxmlformats.org/officeDocument/2006/relationships/hyperlink" Target="https://zenodo.org/records/7576904" TargetMode="External" Id="rId147"/><Relationship Type="http://schemas.openxmlformats.org/officeDocument/2006/relationships/hyperlink" Target="https://zenodo.org/records/11217687" TargetMode="External" Id="rId148"/><Relationship Type="http://schemas.openxmlformats.org/officeDocument/2006/relationships/hyperlink" Target="https://zenodo.org/records/4310119" TargetMode="External" Id="rId149"/><Relationship Type="http://schemas.openxmlformats.org/officeDocument/2006/relationships/hyperlink" Target="https://zenodo.org/records/7821950" TargetMode="External" Id="rId150"/><Relationship Type="http://schemas.openxmlformats.org/officeDocument/2006/relationships/hyperlink" Target="https://zenodo.org/records/12775880" TargetMode="External" Id="rId151"/><Relationship Type="http://schemas.openxmlformats.org/officeDocument/2006/relationships/hyperlink" Target="https://zenodo.org/records/15873244" TargetMode="External" Id="rId152"/><Relationship Type="http://schemas.openxmlformats.org/officeDocument/2006/relationships/hyperlink" Target="https://zenodo.org/records/10120360" TargetMode="External" Id="rId153"/><Relationship Type="http://schemas.openxmlformats.org/officeDocument/2006/relationships/hyperlink" Target="https://zenodo.org/records/12172322" TargetMode="External" Id="rId154"/><Relationship Type="http://schemas.openxmlformats.org/officeDocument/2006/relationships/hyperlink" Target="https://zenodo.org/records/6635685" TargetMode="External" Id="rId155"/><Relationship Type="http://schemas.openxmlformats.org/officeDocument/2006/relationships/hyperlink" Target="https://zenodo.org/records/16582489" TargetMode="External" Id="rId156"/><Relationship Type="http://schemas.openxmlformats.org/officeDocument/2006/relationships/hyperlink" Target="https://zenodo.org/records/5193696" TargetMode="External" Id="rId157"/><Relationship Type="http://schemas.openxmlformats.org/officeDocument/2006/relationships/hyperlink" Target="https://zenodo.org/records/7843422" TargetMode="External" Id="rId158"/><Relationship Type="http://schemas.openxmlformats.org/officeDocument/2006/relationships/hyperlink" Target="https://zenodo.org/records/8425185" TargetMode="External" Id="rId159"/><Relationship Type="http://schemas.openxmlformats.org/officeDocument/2006/relationships/hyperlink" Target="https://zenodo.org/records/17151869" TargetMode="External" Id="rId160"/><Relationship Type="http://schemas.openxmlformats.org/officeDocument/2006/relationships/hyperlink" Target="https://zenodo.org/records/5576696" TargetMode="External" Id="rId161"/><Relationship Type="http://schemas.openxmlformats.org/officeDocument/2006/relationships/hyperlink" Target="https://zenodo.org/records/17016432" TargetMode="External" Id="rId162"/><Relationship Type="http://schemas.openxmlformats.org/officeDocument/2006/relationships/hyperlink" Target="https://zenodo.org/records/14580071" TargetMode="External" Id="rId163"/><Relationship Type="http://schemas.openxmlformats.org/officeDocument/2006/relationships/hyperlink" Target="https://zenodo.org/records/6325549" TargetMode="External" Id="rId164"/><Relationship Type="http://schemas.openxmlformats.org/officeDocument/2006/relationships/hyperlink" Target="https://zenodo.org/records/7105232" TargetMode="External" Id="rId165"/><Relationship Type="http://schemas.openxmlformats.org/officeDocument/2006/relationships/hyperlink" Target="https://zenodo.org/records/4521044" TargetMode="External" Id="rId166"/><Relationship Type="http://schemas.openxmlformats.org/officeDocument/2006/relationships/hyperlink" Target="https://zenodo.org/records/8213427" TargetMode="External" Id="rId167"/><Relationship Type="http://schemas.openxmlformats.org/officeDocument/2006/relationships/hyperlink" Target="https://zenodo.org/records/4944325" TargetMode="External" Id="rId168"/><Relationship Type="http://schemas.openxmlformats.org/officeDocument/2006/relationships/hyperlink" Target="https://zenodo.org/records/15705573" TargetMode="External" Id="rId169"/><Relationship Type="http://schemas.openxmlformats.org/officeDocument/2006/relationships/hyperlink" Target="https://zenodo.org/records/4138957" TargetMode="External" Id="rId170"/><Relationship Type="http://schemas.openxmlformats.org/officeDocument/2006/relationships/hyperlink" Target="https://zenodo.org/records/3813684" TargetMode="External" Id="rId171"/><Relationship Type="http://schemas.openxmlformats.org/officeDocument/2006/relationships/hyperlink" Target="https://zenodo.org/records/7651665" TargetMode="External" Id="rId172"/><Relationship Type="http://schemas.openxmlformats.org/officeDocument/2006/relationships/hyperlink" Target="https://zenodo.org/records/10258100" TargetMode="External" Id="rId173"/><Relationship Type="http://schemas.openxmlformats.org/officeDocument/2006/relationships/hyperlink" Target="https://zenodo.org/records/6332896" TargetMode="External" Id="rId174"/><Relationship Type="http://schemas.openxmlformats.org/officeDocument/2006/relationships/hyperlink" Target="https://zenodo.org/records/14753987" TargetMode="External" Id="rId175"/><Relationship Type="http://schemas.openxmlformats.org/officeDocument/2006/relationships/hyperlink" Target="https://zenodo.org/records/10155516" TargetMode="External" Id="rId176"/><Relationship Type="http://schemas.openxmlformats.org/officeDocument/2006/relationships/hyperlink" Target="https://zenodo.org/records/7330382" TargetMode="External" Id="rId177"/><Relationship Type="http://schemas.openxmlformats.org/officeDocument/2006/relationships/hyperlink" Target="https://zenodo.org/records/4304781" TargetMode="External" Id="rId178"/><Relationship Type="http://schemas.openxmlformats.org/officeDocument/2006/relationships/hyperlink" Target="https://zenodo.org/records/7516807" TargetMode="External" Id="rId179"/><Relationship Type="http://schemas.openxmlformats.org/officeDocument/2006/relationships/hyperlink" Target="https://zenodo.org/records/7566810" TargetMode="External" Id="rId180"/><Relationship Type="http://schemas.openxmlformats.org/officeDocument/2006/relationships/hyperlink" Target="https://zenodo.org/records/8102229" TargetMode="External" Id="rId181"/><Relationship Type="http://schemas.openxmlformats.org/officeDocument/2006/relationships/hyperlink" Target="https://zenodo.org/records/15718305" TargetMode="External" Id="rId182"/><Relationship Type="http://schemas.openxmlformats.org/officeDocument/2006/relationships/hyperlink" Target="https://zenodo.org/records/7613212" TargetMode="External" Id="rId183"/><Relationship Type="http://schemas.openxmlformats.org/officeDocument/2006/relationships/hyperlink" Target="https://zenodo.org/records/4891308" TargetMode="External" Id="rId184"/><Relationship Type="http://schemas.openxmlformats.org/officeDocument/2006/relationships/hyperlink" Target="https://zenodo.org/records/6425084" TargetMode="External" Id="rId185"/><Relationship Type="http://schemas.openxmlformats.org/officeDocument/2006/relationships/hyperlink" Target="https://zenodo.org/records/12659652" TargetMode="External" Id="rId186"/><Relationship Type="http://schemas.openxmlformats.org/officeDocument/2006/relationships/hyperlink" Target="https://zenodo.org/records/7974096" TargetMode="External" Id="rId187"/><Relationship Type="http://schemas.openxmlformats.org/officeDocument/2006/relationships/hyperlink" Target="https://zenodo.org/records/6207299" TargetMode="External" Id="rId188"/><Relationship Type="http://schemas.openxmlformats.org/officeDocument/2006/relationships/hyperlink" Target="https://zenodo.org/records/7631354" TargetMode="External" Id="rId189"/><Relationship Type="http://schemas.openxmlformats.org/officeDocument/2006/relationships/hyperlink" Target="https://zenodo.org/records/3708064" TargetMode="External" Id="rId190"/><Relationship Type="http://schemas.openxmlformats.org/officeDocument/2006/relationships/hyperlink" Target="https://zenodo.org/records/15124161" TargetMode="External" Id="rId191"/><Relationship Type="http://schemas.openxmlformats.org/officeDocument/2006/relationships/hyperlink" Target="https://zenodo.org/records/1316912" TargetMode="External" Id="rId192"/><Relationship Type="http://schemas.openxmlformats.org/officeDocument/2006/relationships/hyperlink" Target="https://zenodo.org/records/4935639" TargetMode="External" Id="rId193"/><Relationship Type="http://schemas.openxmlformats.org/officeDocument/2006/relationships/hyperlink" Target="https://zenodo.org/records/7651394" TargetMode="External" Id="rId194"/><Relationship Type="http://schemas.openxmlformats.org/officeDocument/2006/relationships/hyperlink" Target="https://zenodo.org/records/8040573" TargetMode="External" Id="rId195"/><Relationship Type="http://schemas.openxmlformats.org/officeDocument/2006/relationships/hyperlink" Target="https://zenodo.org/records/5893429" TargetMode="External" Id="rId196"/><Relationship Type="http://schemas.openxmlformats.org/officeDocument/2006/relationships/hyperlink" Target="https://zenodo.org/records/7618624" TargetMode="External" Id="rId197"/><Relationship Type="http://schemas.openxmlformats.org/officeDocument/2006/relationships/hyperlink" Target="https://zenodo.org/records/6476639" TargetMode="External" Id="rId198"/><Relationship Type="http://schemas.openxmlformats.org/officeDocument/2006/relationships/hyperlink" Target="https://zenodo.org/records/14900998" TargetMode="External" Id="rId199"/><Relationship Type="http://schemas.openxmlformats.org/officeDocument/2006/relationships/hyperlink" Target="https://zenodo.org/records/14917954" TargetMode="External" Id="rId200"/><Relationship Type="http://schemas.openxmlformats.org/officeDocument/2006/relationships/hyperlink" Target="https://zenodo.org/records/3635402" TargetMode="External" Id="rId201"/><Relationship Type="http://schemas.openxmlformats.org/officeDocument/2006/relationships/hyperlink" Target="https://zenodo.org/records/13219877" TargetMode="External" Id="rId202"/><Relationship Type="http://schemas.openxmlformats.org/officeDocument/2006/relationships/hyperlink" Target="https://zenodo.org/records/14905226" TargetMode="External" Id="rId203"/><Relationship Type="http://schemas.openxmlformats.org/officeDocument/2006/relationships/hyperlink" Target="https://zenodo.org/records/5084941" TargetMode="External" Id="rId204"/><Relationship Type="http://schemas.openxmlformats.org/officeDocument/2006/relationships/hyperlink" Target="https://zenodo.org/records/7689509" TargetMode="External" Id="rId205"/><Relationship Type="http://schemas.openxmlformats.org/officeDocument/2006/relationships/hyperlink" Target="https://zenodo.org/records/7678656" TargetMode="External" Id="rId206"/><Relationship Type="http://schemas.openxmlformats.org/officeDocument/2006/relationships/hyperlink" Target="https://zenodo.org/records/7724828" TargetMode="External" Id="rId207"/><Relationship Type="http://schemas.openxmlformats.org/officeDocument/2006/relationships/hyperlink" Target="https://zenodo.org/records/7677506" TargetMode="External" Id="rId208"/><Relationship Type="http://schemas.openxmlformats.org/officeDocument/2006/relationships/hyperlink" Target="https://zenodo.org/records/4980308" TargetMode="External" Id="rId209"/><Relationship Type="http://schemas.openxmlformats.org/officeDocument/2006/relationships/hyperlink" Target="https://zenodo.org/records/3382874" TargetMode="External" Id="rId210"/><Relationship Type="http://schemas.openxmlformats.org/officeDocument/2006/relationships/hyperlink" Target="https://zenodo.org/records/4982737" TargetMode="External" Id="rId211"/><Relationship Type="http://schemas.openxmlformats.org/officeDocument/2006/relationships/hyperlink" Target="https://zenodo.org/records/10537424" TargetMode="External" Id="rId212"/><Relationship Type="http://schemas.openxmlformats.org/officeDocument/2006/relationships/hyperlink" Target="https://zenodo.org/records/5659573" TargetMode="External" Id="rId213"/><Relationship Type="http://schemas.openxmlformats.org/officeDocument/2006/relationships/hyperlink" Target="https://zenodo.org/records/4990921" TargetMode="External" Id="rId214"/><Relationship Type="http://schemas.openxmlformats.org/officeDocument/2006/relationships/hyperlink" Target="https://zenodo.org/records/7352859" TargetMode="External" Id="rId215"/><Relationship Type="http://schemas.openxmlformats.org/officeDocument/2006/relationships/hyperlink" Target="https://zenodo.org/records/6590026" TargetMode="External" Id="rId216"/><Relationship Type="http://schemas.openxmlformats.org/officeDocument/2006/relationships/hyperlink" Target="https://zenodo.org/records/8302795" TargetMode="External" Id="rId217"/><Relationship Type="http://schemas.openxmlformats.org/officeDocument/2006/relationships/hyperlink" Target="https://zenodo.org/records/5013594" TargetMode="External" Id="rId218"/><Relationship Type="http://schemas.openxmlformats.org/officeDocument/2006/relationships/hyperlink" Target="https://zenodo.org/records/14903526" TargetMode="External" Id="rId219"/><Relationship Type="http://schemas.openxmlformats.org/officeDocument/2006/relationships/hyperlink" Target="https://zenodo.org/records/5018581" TargetMode="External" Id="rId220"/><Relationship Type="http://schemas.openxmlformats.org/officeDocument/2006/relationships/hyperlink" Target="https://zenodo.org/records/7566992" TargetMode="External" Id="rId221"/><Relationship Type="http://schemas.openxmlformats.org/officeDocument/2006/relationships/hyperlink" Target="https://zenodo.org/records/7576909" TargetMode="External" Id="rId222"/><Relationship Type="http://schemas.openxmlformats.org/officeDocument/2006/relationships/hyperlink" Target="https://zenodo.org/records/8411859" TargetMode="External" Id="rId223"/><Relationship Type="http://schemas.openxmlformats.org/officeDocument/2006/relationships/hyperlink" Target="https://zenodo.org/records/6606471" TargetMode="External" Id="rId224"/><Relationship Type="http://schemas.openxmlformats.org/officeDocument/2006/relationships/hyperlink" Target="https://zenodo.org/records/10301246" TargetMode="External" Id="rId225"/><Relationship Type="http://schemas.openxmlformats.org/officeDocument/2006/relationships/hyperlink" Target="https://zenodo.org/records/7622733" TargetMode="External" Id="rId226"/><Relationship Type="http://schemas.openxmlformats.org/officeDocument/2006/relationships/hyperlink" Target="https://zenodo.org/records/4059559" TargetMode="External" Id="rId227"/><Relationship Type="http://schemas.openxmlformats.org/officeDocument/2006/relationships/hyperlink" Target="https://zenodo.org/records/7806898" TargetMode="External" Id="rId228"/><Relationship Type="http://schemas.openxmlformats.org/officeDocument/2006/relationships/hyperlink" Target="https://zenodo.org/records/4995514" TargetMode="External" Id="rId229"/><Relationship Type="http://schemas.openxmlformats.org/officeDocument/2006/relationships/hyperlink" Target="https://zenodo.org/records/7432971" TargetMode="External" Id="rId230"/><Relationship Type="http://schemas.openxmlformats.org/officeDocument/2006/relationships/hyperlink" Target="https://zenodo.org/records/5798072" TargetMode="External" Id="rId231"/><Relationship Type="http://schemas.openxmlformats.org/officeDocument/2006/relationships/hyperlink" Target="https://zenodo.org/records/16983454" TargetMode="External" Id="rId232"/><Relationship Type="http://schemas.openxmlformats.org/officeDocument/2006/relationships/hyperlink" Target="https://zenodo.org/records/13734306" TargetMode="External" Id="rId233"/><Relationship Type="http://schemas.openxmlformats.org/officeDocument/2006/relationships/hyperlink" Target="https://zenodo.org/records/7352850" TargetMode="External" Id="rId234"/><Relationship Type="http://schemas.openxmlformats.org/officeDocument/2006/relationships/hyperlink" Target="https://zenodo.org/records/18463827" TargetMode="External" Id="rId235"/><Relationship Type="http://schemas.openxmlformats.org/officeDocument/2006/relationships/hyperlink" Target="https://zenodo.org/records/7557080" TargetMode="External" Id="rId236"/><Relationship Type="http://schemas.openxmlformats.org/officeDocument/2006/relationships/hyperlink" Target="https://zenodo.org/records/7648324" TargetMode="External" Id="rId237"/><Relationship Type="http://schemas.openxmlformats.org/officeDocument/2006/relationships/hyperlink" Target="https://zenodo.org/records/5217367" TargetMode="External" Id="rId238"/><Relationship Type="http://schemas.openxmlformats.org/officeDocument/2006/relationships/hyperlink" Target="https://zenodo.org/records/7075342" TargetMode="External" Id="rId239"/><Relationship Type="http://schemas.openxmlformats.org/officeDocument/2006/relationships/hyperlink" Target="https://zenodo.org/records/1410499" TargetMode="External" Id="rId240"/><Relationship Type="http://schemas.openxmlformats.org/officeDocument/2006/relationships/hyperlink" Target="https://zenodo.org/records/7609868" TargetMode="External" Id="rId241"/><Relationship Type="http://schemas.openxmlformats.org/officeDocument/2006/relationships/hyperlink" Target="https://zenodo.org/records/4976473" TargetMode="External" Id="rId242"/><Relationship Type="http://schemas.openxmlformats.org/officeDocument/2006/relationships/hyperlink" Target="https://zenodo.org/records/8096968" TargetMode="External" Id="rId243"/><Relationship Type="http://schemas.openxmlformats.org/officeDocument/2006/relationships/hyperlink" Target="https://zenodo.org/records/5719204" TargetMode="External" Id="rId244"/><Relationship Type="http://schemas.openxmlformats.org/officeDocument/2006/relationships/hyperlink" Target="https://zenodo.org/records/4988269" TargetMode="External" Id="rId245"/><Relationship Type="http://schemas.openxmlformats.org/officeDocument/2006/relationships/hyperlink" Target="https://zenodo.org/records/10778462" TargetMode="External" Id="rId246"/><Relationship Type="http://schemas.openxmlformats.org/officeDocument/2006/relationships/hyperlink" Target="https://zenodo.org/records/6582341" TargetMode="External" Id="rId247"/><Relationship Type="http://schemas.openxmlformats.org/officeDocument/2006/relationships/hyperlink" Target="https://zenodo.org/records/4992182" TargetMode="External" Id="rId248"/><Relationship Type="http://schemas.openxmlformats.org/officeDocument/2006/relationships/hyperlink" Target="https://zenodo.org/records/7574784" TargetMode="External" Id="rId249"/></Relationships>
</file>

<file path=xl/worksheets/sheet1.xml><?xml version="1.0" encoding="utf-8"?>
<worksheet xmlns="http://schemas.openxmlformats.org/spreadsheetml/2006/main">
  <sheetPr>
    <tabColor rgb="004472C4"/>
    <outlinePr summaryBelow="1" summaryRight="1"/>
    <pageSetUpPr/>
  </sheetPr>
  <dimension ref="A1:B23"/>
  <sheetViews>
    <sheetView workbookViewId="0">
      <selection activeCell="A1" sqref="A1"/>
    </sheetView>
  </sheetViews>
  <sheetFormatPr baseColWidth="8" defaultRowHeight="15"/>
  <cols>
    <col width="80" customWidth="1" min="1" max="1"/>
    <col width="30" customWidth="1" min="2" max="2"/>
  </cols>
  <sheetData>
    <row r="1">
      <c r="A1" s="1" t="inlineStr">
        <is>
          <t>ENVISION Classifier Validation</t>
        </is>
      </c>
    </row>
    <row r="2">
      <c r="A2" t="inlineStr"/>
    </row>
    <row r="3">
      <c r="A3" t="inlineStr">
        <is>
          <t>Reviewer Name:</t>
        </is>
      </c>
      <c r="B3" t="inlineStr">
        <is>
          <t>[ENTER YOUR NAME]</t>
        </is>
      </c>
    </row>
    <row r="4">
      <c r="A4" t="inlineStr">
        <is>
          <t>Date Started:</t>
        </is>
      </c>
      <c r="B4" t="inlineStr">
        <is>
          <t>[ENTER DATE]</t>
        </is>
      </c>
    </row>
    <row r="5">
      <c r="A5" t="inlineStr">
        <is>
          <t>Date Completed:</t>
        </is>
      </c>
      <c r="B5" t="inlineStr">
        <is>
          <t>[ENTER DATE]</t>
        </is>
      </c>
    </row>
    <row r="6">
      <c r="A6" t="inlineStr"/>
    </row>
    <row r="7">
      <c r="A7" s="2" t="inlineStr">
        <is>
          <t>INSTRUCTIONS</t>
        </is>
      </c>
    </row>
    <row r="8">
      <c r="A8" t="inlineStr">
        <is>
          <t>1. Go to the 'Validation' tab</t>
        </is>
      </c>
    </row>
    <row r="9">
      <c r="A9" t="inlineStr">
        <is>
          <t>2. For each row, open the Zenodo URL (Column B, click the hyperlink)</t>
        </is>
      </c>
    </row>
    <row r="10">
      <c r="A10" t="inlineStr">
        <is>
          <t>3. Read the title, description, and inspect the Files section</t>
        </is>
      </c>
    </row>
    <row r="11">
      <c r="A11" t="inlineStr">
        <is>
          <t>4. In Column H, select your classification from the dropdown:</t>
        </is>
      </c>
    </row>
    <row r="12">
      <c r="A12" t="inlineStr">
        <is>
          <t xml:space="preserve">   - EYE_IMAGING: Contains actual ophthalmic imaging data (OCT, fundus, OCTA, corneal, etc.)</t>
        </is>
      </c>
    </row>
    <row r="13">
      <c r="A13" t="inlineStr">
        <is>
          <t xml:space="preserve">   - EYE_SOFTWARE: Code/models/tools for eye imaging — no actual data files</t>
        </is>
      </c>
    </row>
    <row r="14">
      <c r="A14" t="inlineStr">
        <is>
          <t xml:space="preserve">   - EDGE_CASE: Eye-related but not imaging (GWAS, genetics, electrophysiology, reviews)</t>
        </is>
      </c>
    </row>
    <row r="15">
      <c r="A15" t="inlineStr">
        <is>
          <t xml:space="preserve">   - NEGATIVE: Not related to eye/vision research</t>
        </is>
      </c>
    </row>
    <row r="16">
      <c r="A16" t="inlineStr">
        <is>
          <t>5. In Column I, rate your confidence (1=uncertain, 5=certain)</t>
        </is>
      </c>
    </row>
    <row r="17">
      <c r="A17" t="inlineStr">
        <is>
          <t>6. In Column J, add notes for difficult or ambiguous records</t>
        </is>
      </c>
    </row>
    <row r="18">
      <c r="A18" t="inlineStr"/>
    </row>
    <row r="19">
      <c r="A19" s="3" t="inlineStr">
        <is>
          <t>IMPORTANT: Do NOT look at model predictions before annotating.</t>
        </is>
      </c>
    </row>
    <row r="20">
      <c r="A20" s="3" t="inlineStr">
        <is>
          <t>Your independent judgment is what makes this validation valid.</t>
        </is>
      </c>
    </row>
    <row r="21">
      <c r="A21" t="inlineStr"/>
    </row>
    <row r="22">
      <c r="A22" t="inlineStr">
        <is>
          <t>Total records to review: 249</t>
        </is>
      </c>
    </row>
    <row r="23">
      <c r="A23" t="inlineStr">
        <is>
          <t>Estimated time: 6–12 hours</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J250"/>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55" customWidth="1" min="3" max="3"/>
    <col width="50" customWidth="1" min="4" max="4"/>
    <col width="18" customWidth="1" min="5" max="5"/>
    <col width="10" customWidth="1" min="6" max="6"/>
    <col width="10" customWidth="1" min="7" max="7"/>
    <col width="16" customWidth="1" min="8" max="8"/>
    <col width="14" customWidth="1" min="9" max="9"/>
    <col width="40" customWidth="1" min="10" max="10"/>
  </cols>
  <sheetData>
    <row r="1">
      <c r="A1" s="4" t="inlineStr">
        <is>
          <t>#</t>
        </is>
      </c>
      <c r="B1" s="4" t="inlineStr">
        <is>
          <t>Zenodo ID</t>
        </is>
      </c>
      <c r="C1" s="4" t="inlineStr">
        <is>
          <t>Title</t>
        </is>
      </c>
      <c r="D1" s="4" t="inlineStr">
        <is>
          <t>Description</t>
        </is>
      </c>
      <c r="E1" s="4" t="inlineStr">
        <is>
          <t>File Types</t>
        </is>
      </c>
      <c r="F1" s="4" t="inlineStr">
        <is>
          <t>File Count</t>
        </is>
      </c>
      <c r="G1" s="4" t="inlineStr">
        <is>
          <t>Size (MB)</t>
        </is>
      </c>
      <c r="H1" s="4" t="inlineStr">
        <is>
          <t>Your Label</t>
        </is>
      </c>
      <c r="I1" s="4" t="inlineStr">
        <is>
          <t>Confidence (1-5)</t>
        </is>
      </c>
      <c r="J1" s="4" t="inlineStr">
        <is>
          <t>Notes</t>
        </is>
      </c>
    </row>
    <row r="2">
      <c r="A2" s="5" t="n">
        <v>1</v>
      </c>
      <c r="B2" s="6" t="inlineStr">
        <is>
          <t>3998075</t>
        </is>
      </c>
      <c r="C2" s="7" t="inlineStr">
        <is>
          <t>Data from: Oxidative stress in the retina and retinal pigment epithelium (RPE): role of aging, and DJ-1</t>
        </is>
      </c>
      <c r="D2" s="7" t="inlineStr">
        <is>
          <t xml:space="preserve">High levels of oxidative radicals generated by daily light exposure and high metabolic rate suggest that the antioxidant machinery of the retina and retinal pigment epithelium (RPE) is crucial for their survival. DJ-1 is a redox-sensitive protein that has been shown to have neuroprotective function </t>
        </is>
      </c>
      <c r="E2" s="5" t="inlineStr">
        <is>
          <t>.tif</t>
        </is>
      </c>
      <c r="F2" s="5" t="n">
        <v>118</v>
      </c>
      <c r="G2" s="5" t="n">
        <v>432.2</v>
      </c>
      <c r="H2" s="5" t="inlineStr"/>
      <c r="I2" s="5" t="inlineStr"/>
      <c r="J2" s="7" t="inlineStr"/>
    </row>
    <row r="3">
      <c r="A3" s="8" t="n">
        <v>2</v>
      </c>
      <c r="B3" s="9" t="inlineStr">
        <is>
          <t>12779552</t>
        </is>
      </c>
      <c r="C3" s="10" t="inlineStr">
        <is>
          <t>Fundus vessel phenotypes</t>
        </is>
      </c>
      <c r="D3" s="10" t="inlineStr">
        <is>
          <t>Related publication (2024):  https://www.nature.com/articles/s41467-024-52334-1  
  Sumstat column information  
 beta: refers to the effect of having an extra copy of A2 
 af: frequency of A2 
 A2 is not necessarily the minor allele 
 The sumstats are curated bgenie output. official bgenie manual</t>
        </is>
      </c>
      <c r="E3" s="8" t="inlineStr">
        <is>
          <t>.tar.gz</t>
        </is>
      </c>
      <c r="F3" s="8" t="n">
        <v>1</v>
      </c>
      <c r="G3" s="8" t="n">
        <v>8422.799999999999</v>
      </c>
      <c r="H3" s="8" t="inlineStr"/>
      <c r="I3" s="8" t="inlineStr"/>
      <c r="J3" s="10" t="inlineStr"/>
    </row>
    <row r="4">
      <c r="A4" s="5" t="n">
        <v>3</v>
      </c>
      <c r="B4" s="6" t="inlineStr">
        <is>
          <t>14904395</t>
        </is>
      </c>
      <c r="C4" s="7" t="inlineStr">
        <is>
          <t>AMPERE Summary Plot Movies (2015-Oct)</t>
        </is>
      </c>
      <c r="D4" s="7" t="inlineStr">
        <is>
          <t>2015-Oct AMPERE summary plot movies. See included zenodo_summary_plot_movie_description document for details.</t>
        </is>
      </c>
      <c r="E4" s="5" t="inlineStr">
        <is>
          <t>.zip</t>
        </is>
      </c>
      <c r="F4" s="5" t="n">
        <v>32</v>
      </c>
      <c r="G4" s="5" t="n">
        <v>2768.3</v>
      </c>
      <c r="H4" s="5" t="inlineStr"/>
      <c r="I4" s="5" t="inlineStr"/>
      <c r="J4" s="7" t="inlineStr"/>
    </row>
    <row r="5">
      <c r="A5" s="8" t="n">
        <v>4</v>
      </c>
      <c r="B5" s="9" t="inlineStr">
        <is>
          <t>13941470</t>
        </is>
      </c>
      <c r="C5" s="10" t="inlineStr">
        <is>
          <t>FAOSTAT AgLU data Archive for gcamfaostat v1.0.1 (Download Oct 16 2024)</t>
        </is>
      </c>
      <c r="D5" s="10" t="inlineStr">
        <is>
          <t>This repository contains data files needed to run the  gcamfaostat (v1.0.1)  package. All the data are publicly available from FAOSTAT and they are downloaded from  FAOSTAT  in October 2024. This repo serves as an archive of the source data as FAOSTAT continues updating the data. Note that the zip f</t>
        </is>
      </c>
      <c r="E5" s="8" t="inlineStr">
        <is>
          <t>.zip</t>
        </is>
      </c>
      <c r="F5" s="8" t="n">
        <v>45</v>
      </c>
      <c r="G5" s="8" t="n">
        <v>1254</v>
      </c>
      <c r="H5" s="8" t="inlineStr"/>
      <c r="I5" s="8" t="inlineStr"/>
      <c r="J5" s="10" t="inlineStr"/>
    </row>
    <row r="6">
      <c r="A6" s="5" t="n">
        <v>5</v>
      </c>
      <c r="B6" s="6" t="inlineStr">
        <is>
          <t>6640302</t>
        </is>
      </c>
      <c r="C6" s="7" t="inlineStr">
        <is>
          <t>High-resolution structural and functional retinal imaging in the awake behaving mouse</t>
        </is>
      </c>
      <c r="D6" s="7" t="inlineStr">
        <is>
          <t>Data presented in Communication Biology paper Feng et al. 2023 - 'High-resolution structural and functional retinal imaging in the awake behaving mouse'. Codes for processing and analysis are available on Github: https://github.com/GP-Feng/Awake_Mouse_Imaging_CommBio.git</t>
        </is>
      </c>
      <c r="E6" s="5" t="inlineStr">
        <is>
          <t>.mat, .tif, .tiff</t>
        </is>
      </c>
      <c r="F6" s="5" t="n">
        <v>555</v>
      </c>
      <c r="G6" s="5" t="n">
        <v>47412.1</v>
      </c>
      <c r="H6" s="5" t="inlineStr"/>
      <c r="I6" s="5" t="inlineStr"/>
      <c r="J6" s="7" t="inlineStr"/>
    </row>
    <row r="7">
      <c r="A7" s="8" t="n">
        <v>6</v>
      </c>
      <c r="B7" s="9" t="inlineStr">
        <is>
          <t>7613175</t>
        </is>
      </c>
      <c r="C7" s="10" t="inlineStr">
        <is>
          <t>Doodleverse/Segmentation Zoo/Seg2Map SegFormer models for segmentation of xBD/damaged buildings in RGB 768x768 high-res.</t>
        </is>
      </c>
      <c r="D7" s="10" t="inlineStr">
        <is>
          <t>Doodleverse/Segmentation Zoo/Seg2Map SegFormer models for segmentation of xBD/damaged buildings in RGB 768x768 high-res. images   
 Models have been created using Segmentation Gym* using the following dataset**: https://arxiv.org/abs/1911.09296 
 These   SegFormer   model data are based on 1m spat</t>
        </is>
      </c>
      <c r="E7" s="8" t="inlineStr">
        <is>
          <t>.h5, .npz, .png</t>
        </is>
      </c>
      <c r="F7" s="8" t="n">
        <v>22</v>
      </c>
      <c r="G7" s="8" t="n">
        <v>58.2</v>
      </c>
      <c r="H7" s="8" t="inlineStr"/>
      <c r="I7" s="8" t="inlineStr"/>
      <c r="J7" s="10" t="inlineStr"/>
    </row>
    <row r="8">
      <c r="A8" s="5" t="n">
        <v>7</v>
      </c>
      <c r="B8" s="6" t="inlineStr">
        <is>
          <t>13759203</t>
        </is>
      </c>
      <c r="C8" s="7" t="inlineStr">
        <is>
          <t>Nonlinear spatial integration allows the retina to detect the sign of defocus in natural scenes</t>
        </is>
      </c>
      <c r="D8" s="7" t="inlineStr">
        <is>
          <t>The dataset comprises three types of data. First, multi-electrode array recordings of mouse retinal ganglion cells performed by Awen Louboutin and Tom Quetu. Second, point spread functions from mouse and human optical eye models, and associated convolved natural images. Third, results from a convolu</t>
        </is>
      </c>
      <c r="E8" s="5" t="inlineStr">
        <is>
          <t>.zip</t>
        </is>
      </c>
      <c r="F8" s="5" t="n">
        <v>1</v>
      </c>
      <c r="G8" s="5" t="n">
        <v>18785.8</v>
      </c>
      <c r="H8" s="5" t="inlineStr"/>
      <c r="I8" s="5" t="inlineStr"/>
      <c r="J8" s="7" t="inlineStr"/>
    </row>
    <row r="9">
      <c r="A9" s="8" t="n">
        <v>8</v>
      </c>
      <c r="B9" s="9" t="inlineStr">
        <is>
          <t>4985378</t>
        </is>
      </c>
      <c r="C9" s="10" t="inlineStr">
        <is>
          <t>Data from: Cambrian origin of the CYP27C1-mediated vitamin A1-to-A2 switch, a key mechanism of vertebrate sensory plasti</t>
        </is>
      </c>
      <c r="D9" s="10" t="inlineStr">
        <is>
          <t>The spectral composition of ambient light varies across both space and time. Many species of jawed vertebrates adapt to this variation by tuning the sensitivity of their photoreceptors via the expression of CYP27C1, an enzyme that converts vitamin A1 into vitamin A2, thereby shifting the ratio of vi</t>
        </is>
      </c>
      <c r="E9" s="8" t="inlineStr">
        <is>
          <t>.zip</t>
        </is>
      </c>
      <c r="F9" s="8" t="n">
        <v>14</v>
      </c>
      <c r="G9" s="8" t="n">
        <v>0.3</v>
      </c>
      <c r="H9" s="8" t="inlineStr"/>
      <c r="I9" s="8" t="inlineStr"/>
      <c r="J9" s="10" t="inlineStr"/>
    </row>
    <row r="10">
      <c r="A10" s="5" t="n">
        <v>9</v>
      </c>
      <c r="B10" s="6" t="inlineStr">
        <is>
          <t>14793518</t>
        </is>
      </c>
      <c r="C10" s="7" t="inlineStr">
        <is>
          <t>WS2: Weakly Supervised Segmentation for Smarter Waste Sorting</t>
        </is>
      </c>
      <c r="D10" s="7" t="inlineStr">
        <is>
          <t xml:space="preserve">The  WS2 dataset  is a benchmark dataset specifically designed for weakly supervised waste sorting segmentation. Collected from a plastic waste sorting facility, it comprises high-resolution video sequences captured  before  and  after  a human operator manually removes unwanted items from a stream </t>
        </is>
      </c>
      <c r="E10" s="5" t="inlineStr">
        <is>
          <t>.zip</t>
        </is>
      </c>
      <c r="F10" s="5" t="n">
        <v>6</v>
      </c>
      <c r="G10" s="5" t="n">
        <v>5192.8</v>
      </c>
      <c r="H10" s="5" t="inlineStr"/>
      <c r="I10" s="5" t="inlineStr"/>
      <c r="J10" s="7" t="inlineStr"/>
    </row>
    <row r="11">
      <c r="A11" s="8" t="n">
        <v>10</v>
      </c>
      <c r="B11" s="9" t="inlineStr">
        <is>
          <t>6616655</t>
        </is>
      </c>
      <c r="C11" s="10" t="inlineStr">
        <is>
          <t>Data for: Regularly occurring bouts of retinal movements suggest an REM sleep–like state in jumping spiders</t>
        </is>
      </c>
      <c r="D11" s="10" t="inlineStr">
        <is>
          <t>Sleep and sleep-like states are present across the animal kingdom, with recent studies convincingly demonstrating sleep-like states in arthropods, nematodes, and even cnidarians. However, the existence of different sleep phases across taxa is as yet unclear. In particular, the study of rapid eye mov</t>
        </is>
      </c>
      <c r="E11" s="8" t="inlineStr">
        <is>
          <t>.zip</t>
        </is>
      </c>
      <c r="F11" s="8" t="n">
        <v>5</v>
      </c>
      <c r="G11" s="8" t="n">
        <v>571.9</v>
      </c>
      <c r="H11" s="8" t="inlineStr"/>
      <c r="I11" s="8" t="inlineStr"/>
      <c r="J11" s="10" t="inlineStr"/>
    </row>
    <row r="12">
      <c r="A12" s="5" t="n">
        <v>11</v>
      </c>
      <c r="B12" s="6" t="inlineStr">
        <is>
          <t>5790134</t>
        </is>
      </c>
      <c r="C12" s="7" t="inlineStr">
        <is>
          <t>Dataset for RSOS-211108</t>
        </is>
      </c>
      <c r="D12" s="7" t="inlineStr">
        <is>
          <t>The tomography of participants' right eyes measuring by optical OCT and rotating Scheimpflug imaging (OCULUS  Pentacam ).   
  A custom-built MATLAB code for automatic segmentation of corneal OCT images.</t>
        </is>
      </c>
      <c r="E12" s="5" t="inlineStr">
        <is>
          <t>.zip</t>
        </is>
      </c>
      <c r="F12" s="5" t="n">
        <v>1</v>
      </c>
      <c r="G12" s="5" t="n">
        <v>366.1</v>
      </c>
      <c r="H12" s="5" t="inlineStr"/>
      <c r="I12" s="5" t="inlineStr"/>
      <c r="J12" s="7" t="inlineStr"/>
    </row>
    <row r="13">
      <c r="A13" s="8" t="n">
        <v>12</v>
      </c>
      <c r="B13" s="9" t="inlineStr">
        <is>
          <t>4994446</t>
        </is>
      </c>
      <c r="C13" s="10" t="inlineStr">
        <is>
          <t>Data from: Zebrafish differentially process colour across visual space to match natural scenes</t>
        </is>
      </c>
      <c r="D13" s="10" t="inlineStr">
        <is>
          <t>Animal eyes have evolved to process behaviorally important visual information, but how retinas deal with statistical asymmetries in visual space remains poorly understood. Using hyperspectral imaging in the field, in vivo 2-photon imaging of retinal neurons, and anatomy, here we show that larval zeb</t>
        </is>
      </c>
      <c r="E13" s="8" t="inlineStr">
        <is>
          <t>.zip</t>
        </is>
      </c>
      <c r="F13" s="8" t="n">
        <v>4</v>
      </c>
      <c r="G13" s="8" t="n">
        <v>527.6</v>
      </c>
      <c r="H13" s="8" t="inlineStr"/>
      <c r="I13" s="8" t="inlineStr"/>
      <c r="J13" s="10" t="inlineStr"/>
    </row>
    <row r="14">
      <c r="A14" s="5" t="n">
        <v>13</v>
      </c>
      <c r="B14" s="6" t="inlineStr">
        <is>
          <t>10839556</t>
        </is>
      </c>
      <c r="C14" s="7" t="inlineStr">
        <is>
          <t>OCTDL: Optical Coherence Tomography Dataset for Image-Based Deep Learning Methods</t>
        </is>
      </c>
      <c r="D14" s="7" t="inlineStr">
        <is>
          <t xml:space="preserve">Optical coherence tomography (OCT) is a non-invasive imaging technique that has extensive clinical applications in ophthalmology. OCT enables the visualization of the retinal layers, playing a vital role in the early detection and monitoring of retinal diseases. OCT uses the principle of light wave </t>
        </is>
      </c>
      <c r="E14" s="5" t="inlineStr">
        <is>
          <t>.zip</t>
        </is>
      </c>
      <c r="F14" s="5" t="n">
        <v>2</v>
      </c>
      <c r="G14" s="5" t="n">
        <v>380.2</v>
      </c>
      <c r="H14" s="5" t="inlineStr"/>
      <c r="I14" s="5" t="inlineStr"/>
      <c r="J14" s="7" t="inlineStr"/>
    </row>
    <row r="15">
      <c r="A15" s="8" t="n">
        <v>14</v>
      </c>
      <c r="B15" s="9" t="inlineStr">
        <is>
          <t>6938457</t>
        </is>
      </c>
      <c r="C15" s="10" t="inlineStr">
        <is>
          <t>GlottisNetV2 - Time variant training and testing data</t>
        </is>
      </c>
      <c r="D15" s="10" t="inlineStr">
        <is>
          <t>Here we provide time variant training and testing data for the GlottisNetV2 study. In particular, this dataset relies on the benchmark for automatic glottis segmentation (BAGLS dataset). This three-dimensional data (time, y, x) is used for experiments involving deep neural networks capable of proces</t>
        </is>
      </c>
      <c r="E15" s="8" t="inlineStr">
        <is>
          <t>.zip</t>
        </is>
      </c>
      <c r="F15" s="8" t="n">
        <v>2</v>
      </c>
      <c r="G15" s="8" t="n">
        <v>562.2</v>
      </c>
      <c r="H15" s="8" t="inlineStr"/>
      <c r="I15" s="8" t="inlineStr"/>
      <c r="J15" s="10" t="inlineStr"/>
    </row>
    <row r="16">
      <c r="A16" s="5" t="n">
        <v>15</v>
      </c>
      <c r="B16" s="6" t="inlineStr">
        <is>
          <t>5004956</t>
        </is>
      </c>
      <c r="C16" s="7" t="inlineStr">
        <is>
          <t>Data from: Automated segmentation of complex patterns in biological tissues: lessons from stingray tessellated cartilage</t>
        </is>
      </c>
      <c r="D16" s="7" t="inlineStr">
        <is>
          <t>Introduction - Many biological structures show recurring tiling patterns on one structural level or the other. Current image acquisition techniques are able to resolve those tiling patterns to allow quantitative analyses. The resulting image data, however, may contain an enormous number of elements.</t>
        </is>
      </c>
      <c r="E16" s="5" t="inlineStr">
        <is>
          <t>.zip</t>
        </is>
      </c>
      <c r="F16" s="5" t="n">
        <v>2</v>
      </c>
      <c r="G16" s="5" t="n">
        <v>17</v>
      </c>
      <c r="H16" s="5" t="inlineStr"/>
      <c r="I16" s="5" t="inlineStr"/>
      <c r="J16" s="7" t="inlineStr"/>
    </row>
    <row r="17">
      <c r="A17" s="8" t="n">
        <v>16</v>
      </c>
      <c r="B17" s="9" t="inlineStr">
        <is>
          <t>8287928</t>
        </is>
      </c>
      <c r="C17" s="10" t="inlineStr">
        <is>
          <t>RVD: A Handheld Device-Based Fundus Video Dataset for Retinal Vessel Segmentation</t>
        </is>
      </c>
      <c r="D17" s="10" t="inlineStr">
        <is>
          <t xml:space="preserve">We introduce the first video-based  retinal vessel dataset (RVD) , a collection of 635 smartphone-based videos with detailed vessel annotation. All captured videos have a frame rate of 25 frames per second, with the duration varying between 2 to 30 seconds. The total number of frames in our dataset </t>
        </is>
      </c>
      <c r="E17" s="8" t="inlineStr">
        <is>
          <t>.zip</t>
        </is>
      </c>
      <c r="F17" s="8" t="n">
        <v>11</v>
      </c>
      <c r="G17" s="8" t="n">
        <v>24847.1</v>
      </c>
      <c r="H17" s="8" t="inlineStr"/>
      <c r="I17" s="8" t="inlineStr"/>
      <c r="J17" s="10" t="inlineStr"/>
    </row>
    <row r="18">
      <c r="A18" s="5" t="n">
        <v>17</v>
      </c>
      <c r="B18" s="6" t="inlineStr">
        <is>
          <t>4980474</t>
        </is>
      </c>
      <c r="C18" s="7" t="inlineStr">
        <is>
          <t>Data from: The application of optical coherence tomography to image subsurface tissue structure of Antarctic krill Eupha</t>
        </is>
      </c>
      <c r="D18" s="7" t="inlineStr">
        <is>
          <t>Many small open ocean animals, such as Antarctic krill, are an important part of marine ecosystems. To discover what will happen to animals such as krill in a changing ocean, experiments are run in aquaria where conditions can be controlled to simulate water characteristics predicted to occur in the</t>
        </is>
      </c>
      <c r="E18" s="5" t="inlineStr">
        <is>
          <t>.zip</t>
        </is>
      </c>
      <c r="F18" s="5" t="n">
        <v>2</v>
      </c>
      <c r="G18" s="5" t="n">
        <v>591.7</v>
      </c>
      <c r="H18" s="5" t="inlineStr"/>
      <c r="I18" s="5" t="inlineStr"/>
      <c r="J18" s="7" t="inlineStr"/>
    </row>
    <row r="19">
      <c r="A19" s="8" t="n">
        <v>18</v>
      </c>
      <c r="B19" s="9" t="inlineStr">
        <is>
          <t>4005629</t>
        </is>
      </c>
      <c r="C19" s="10" t="inlineStr">
        <is>
          <t>Axial currents recordings in mouse retinal ganglion cells</t>
        </is>
      </c>
      <c r="D19" s="10" t="inlineStr">
        <is>
          <t>Patch-clamp recordings in mouse retinal ganglion cells performed by Martijn Sierksma. It comprises axial currents recorded in voltage clamp, spontaneous activity and the response to current pulses. The cells were filled with biocytin and subsequently labelled for ankyrin G. The dataset comprises con</t>
        </is>
      </c>
      <c r="E19" s="8" t="inlineStr">
        <is>
          <t>.zip</t>
        </is>
      </c>
      <c r="F19" s="8" t="n">
        <v>2</v>
      </c>
      <c r="G19" s="8" t="n">
        <v>7609.3</v>
      </c>
      <c r="H19" s="8" t="inlineStr"/>
      <c r="I19" s="8" t="inlineStr"/>
      <c r="J19" s="10" t="inlineStr"/>
    </row>
    <row r="20">
      <c r="A20" s="5" t="n">
        <v>19</v>
      </c>
      <c r="B20" s="6" t="inlineStr">
        <is>
          <t>7700430</t>
        </is>
      </c>
      <c r="C20" s="7" t="inlineStr">
        <is>
          <t>Doodleverse/Segmentation Zoo Res-UNet models for v2 PCMSC/planecam/2-class (water, nowater) segmentation of RGB 1024x768</t>
        </is>
      </c>
      <c r="D20" s="7" t="inlineStr">
        <is>
          <t xml:space="preserve">Doodleverse/Segmentation Zoo Res-UNet models for v2 PCMSC/planecam/2-class (water, nowater) segmentation of RGB 1024x768 high-res. images 
 These Residual-UNet models have been created using Segmentation Gym* 
 Image size used by model: 1024 x 768 x 3 pixels 
 classes: 
	 water 
	 other 
  </t>
        </is>
      </c>
      <c r="E20" s="5" t="inlineStr">
        <is>
          <t>.h5, .npz, .png</t>
        </is>
      </c>
      <c r="F20" s="5" t="n">
        <v>28</v>
      </c>
      <c r="G20" s="5" t="n">
        <v>398.3</v>
      </c>
      <c r="H20" s="5" t="inlineStr"/>
      <c r="I20" s="5" t="inlineStr"/>
      <c r="J20" s="7" t="inlineStr"/>
    </row>
    <row r="21">
      <c r="A21" s="8" t="n">
        <v>20</v>
      </c>
      <c r="B21" s="9" t="inlineStr">
        <is>
          <t>10716020</t>
        </is>
      </c>
      <c r="C21" s="10" t="inlineStr">
        <is>
          <t>Data from: ASHS-OAP atlas for automatic entorhinal cortex segmentation</t>
        </is>
      </c>
      <c r="D21" s="10" t="inlineStr">
        <is>
          <t xml:space="preserve">Early stages of Alzheimer's disease (AD) are associated with volume reductions in specific subregions of the medial temporal lobe (MTL). Using a manual segmentation method—the Olsen-Amaral-Palombo (OAP) protocol— previous work in healthy older adults showed that reductions in grey matter volumes in </t>
        </is>
      </c>
      <c r="E21" s="8" t="inlineStr">
        <is>
          <t>.zip</t>
        </is>
      </c>
      <c r="F21" s="8" t="n">
        <v>2</v>
      </c>
      <c r="G21" s="8" t="n">
        <v>3820.6</v>
      </c>
      <c r="H21" s="8" t="inlineStr"/>
      <c r="I21" s="8" t="inlineStr"/>
      <c r="J21" s="10" t="inlineStr"/>
    </row>
    <row r="22">
      <c r="A22" s="5" t="n">
        <v>21</v>
      </c>
      <c r="B22" s="6" t="inlineStr">
        <is>
          <t>16884175</t>
        </is>
      </c>
      <c r="C22" s="7" t="inlineStr">
        <is>
          <t>Benchmark Set: Counting Minimum OCTs</t>
        </is>
      </c>
      <c r="D22" s="7" t="inlineStr">
        <is>
          <t>This benchmark contains instances of the  model counting problem  built from a graph family of (initially) constant treewidth to which  cardinality constraints  were added. The added constraints can increase the treewidth of the resulting CNFs.</t>
        </is>
      </c>
      <c r="E22" s="5" t="inlineStr">
        <is>
          <t>.zip</t>
        </is>
      </c>
      <c r="F22" s="5" t="n">
        <v>11</v>
      </c>
      <c r="G22" s="5" t="n">
        <v>18569.5</v>
      </c>
      <c r="H22" s="5" t="inlineStr"/>
      <c r="I22" s="5" t="inlineStr"/>
      <c r="J22" s="7" t="inlineStr"/>
    </row>
    <row r="23">
      <c r="A23" s="8" t="n">
        <v>22</v>
      </c>
      <c r="B23" s="9" t="inlineStr">
        <is>
          <t>14902991</t>
        </is>
      </c>
      <c r="C23" s="10" t="inlineStr">
        <is>
          <t>AMPERE Summary Plot Movies (2011-Oct)</t>
        </is>
      </c>
      <c r="D23" s="10" t="inlineStr">
        <is>
          <t>2011-Oct AMPERE summary plot movies. See included zenodo_summary_plot_movie_description document for details.</t>
        </is>
      </c>
      <c r="E23" s="8" t="inlineStr">
        <is>
          <t>.zip</t>
        </is>
      </c>
      <c r="F23" s="8" t="n">
        <v>32</v>
      </c>
      <c r="G23" s="8" t="n">
        <v>2748.7</v>
      </c>
      <c r="H23" s="8" t="inlineStr"/>
      <c r="I23" s="8" t="inlineStr"/>
      <c r="J23" s="10" t="inlineStr"/>
    </row>
    <row r="24">
      <c r="A24" s="5" t="n">
        <v>23</v>
      </c>
      <c r="B24" s="6" t="inlineStr">
        <is>
          <t>5000442</t>
        </is>
      </c>
      <c r="C24" s="7" t="inlineStr">
        <is>
          <t>Data from: The functional diversity of retinal ganglion cells in the mouse</t>
        </is>
      </c>
      <c r="D24" s="7" t="inlineStr">
        <is>
          <t>In the vertebrate visual system, all output of the retina is carried by retinal ganglion cells. Each type encodes distinct visual features in parallel for transmission to the brain. How many such 'output channels' exist and what each encodes are areas of intense debate. In the mouse, anatomical esti</t>
        </is>
      </c>
      <c r="E24" s="5" t="inlineStr">
        <is>
          <t>.mat</t>
        </is>
      </c>
      <c r="F24" s="5" t="n">
        <v>2</v>
      </c>
      <c r="G24" s="5" t="n">
        <v>406.4</v>
      </c>
      <c r="H24" s="5" t="inlineStr"/>
      <c r="I24" s="5" t="inlineStr"/>
      <c r="J24" s="7" t="inlineStr"/>
    </row>
    <row r="25">
      <c r="A25" s="8" t="n">
        <v>24</v>
      </c>
      <c r="B25" s="9" t="inlineStr">
        <is>
          <t>4994030</t>
        </is>
      </c>
      <c r="C25" s="10" t="inlineStr">
        <is>
          <t>Data from: Human foveal cone photoreceptor topography and its dependence on eye length</t>
        </is>
      </c>
      <c r="D25" s="10" t="inlineStr">
        <is>
          <t>We provide the first measures of foveal cone density as a function of axial length in living eyes and discuss the physical and visual implications of our findings. We used a new generation Adaptive Optics Scanning Laser Ophthalmoscope to image cones at and near the fovea in 28 eyes of 16 subjects. C</t>
        </is>
      </c>
      <c r="E25" s="8" t="inlineStr">
        <is>
          <t>.zip</t>
        </is>
      </c>
      <c r="F25" s="8" t="n">
        <v>1</v>
      </c>
      <c r="G25" s="8" t="n">
        <v>31.7</v>
      </c>
      <c r="H25" s="8" t="inlineStr"/>
      <c r="I25" s="8" t="inlineStr"/>
      <c r="J25" s="10" t="inlineStr"/>
    </row>
    <row r="26">
      <c r="A26" s="5" t="n">
        <v>25</v>
      </c>
      <c r="B26" s="6" t="inlineStr">
        <is>
          <t>17331204</t>
        </is>
      </c>
      <c r="C26" s="7" t="inlineStr">
        <is>
          <t>Integrating time-series analysis and deep learning method to reconstruct the RTS dynamics in the Tibetan Plateau over  t</t>
        </is>
      </c>
      <c r="D26" s="7" t="inlineStr">
        <is>
          <t># Remote Sensing Data Analysis and Object Detection Project  ## Project Overview  This project is a comprehensive remote sensing data analysis toolkit that includes two core functional modules:  1. **Time Series Classification and Segmentation**: Utilizes LSTM models for time series data classificat</t>
        </is>
      </c>
      <c r="E26" s="5" t="inlineStr">
        <is>
          <t>.zip</t>
        </is>
      </c>
      <c r="F26" s="5" t="n">
        <v>5</v>
      </c>
      <c r="G26" s="5" t="n">
        <v>415</v>
      </c>
      <c r="H26" s="5" t="inlineStr"/>
      <c r="I26" s="5" t="inlineStr"/>
      <c r="J26" s="7" t="inlineStr"/>
    </row>
    <row r="27">
      <c r="A27" s="8" t="n">
        <v>26</v>
      </c>
      <c r="B27" s="9" t="inlineStr">
        <is>
          <t>3626854</t>
        </is>
      </c>
      <c r="C27" s="10" t="inlineStr">
        <is>
          <t>Self-supervised retinal thickness prediction enables deep learning from unlabeled data to boost classification of diabet</t>
        </is>
      </c>
      <c r="D27" s="10" t="inlineStr">
        <is>
          <t>This data repository contains the OCT images and binary annotations for segmentation of retinal tissue using deep learning. To use, please refer to the Github repository   https://github.com/theislab/DeepRT . 
  #######  
  Access to large, annotated samples represents a considerable challeng</t>
        </is>
      </c>
      <c r="E27" s="8" t="inlineStr">
        <is>
          <t>.tar.gz</t>
        </is>
      </c>
      <c r="F27" s="8" t="n">
        <v>4</v>
      </c>
      <c r="G27" s="8" t="n">
        <v>799</v>
      </c>
      <c r="H27" s="8" t="inlineStr"/>
      <c r="I27" s="8" t="inlineStr"/>
      <c r="J27" s="10" t="inlineStr"/>
    </row>
    <row r="28">
      <c r="A28" s="5" t="n">
        <v>27</v>
      </c>
      <c r="B28" s="6" t="inlineStr">
        <is>
          <t>10148752</t>
        </is>
      </c>
      <c r="C28" s="7" t="inlineStr">
        <is>
          <t>ANNs pre-trained on Retinal Waves</t>
        </is>
      </c>
      <c r="D28" s="7" t="inlineStr">
        <is>
          <t>Different Artificial Neural Networks (saved weights), some only pre-trained either on rwave-1024 or rwave-4096 or FractalDB1000 datasets; some fine-tuned or trained from scratch (pt_none_ft... or pt__ft... or ...scratch...) on CIFAR10/100 or ImageNet1k.  Retinal Waves for Pre-Training Artificial Neu</t>
        </is>
      </c>
      <c r="E28" s="5" t="inlineStr">
        <is>
          <t>.tar</t>
        </is>
      </c>
      <c r="F28" s="5" t="n">
        <v>58</v>
      </c>
      <c r="G28" s="5" t="n">
        <v>7469</v>
      </c>
      <c r="H28" s="5" t="inlineStr"/>
      <c r="I28" s="5" t="inlineStr"/>
      <c r="J28" s="7" t="inlineStr"/>
    </row>
    <row r="29">
      <c r="A29" s="8" t="n">
        <v>28</v>
      </c>
      <c r="B29" s="9" t="inlineStr">
        <is>
          <t>5851573</t>
        </is>
      </c>
      <c r="C29" s="10" t="inlineStr">
        <is>
          <t>Excitatory neurotransmission activates compartmentalized calcium transients in Müller glia without affecting lateral pro</t>
        </is>
      </c>
      <c r="D29" s="10" t="inlineStr">
        <is>
          <t>Neural activity has been implicated in the motility and outgrowth of glial cell processes throughout the central nervous system. Here we explore this phenomenon in Müller glia, which are specialized radial astroglia that are the predominant glial type of the vertebrate retina. Müller glia extend fin</t>
        </is>
      </c>
      <c r="E29" s="8" t="inlineStr">
        <is>
          <t>.mat</t>
        </is>
      </c>
      <c r="F29" s="8" t="n">
        <v>16</v>
      </c>
      <c r="G29" s="8" t="n">
        <v>672.3</v>
      </c>
      <c r="H29" s="8" t="inlineStr"/>
      <c r="I29" s="8" t="inlineStr"/>
      <c r="J29" s="10" t="inlineStr"/>
    </row>
    <row r="30">
      <c r="A30" s="5" t="n">
        <v>29</v>
      </c>
      <c r="B30" s="6" t="inlineStr">
        <is>
          <t>7607895</t>
        </is>
      </c>
      <c r="C30" s="7" t="inlineStr">
        <is>
          <t>Doodleverse/Segmentation Zoo/Seg2Map Res-UNet models for segmentation of buildings of RGB 1024x1024 high-res. images</t>
        </is>
      </c>
      <c r="D30" s="7" t="inlineStr">
        <is>
          <t>Doodleverse/Segmentation Zoo/Seg2Map Res-UNet models for segmentation of buildings of RGB 1024x1024 high-res. images   
 Models have been created using Segmentation Gym* using the following dataset**: https://github.com/FrontierDevelopmentLab/multi3net 
 These Residual-UNet model data are based on</t>
        </is>
      </c>
      <c r="E30" s="5" t="inlineStr">
        <is>
          <t>.h5, .npz, .png</t>
        </is>
      </c>
      <c r="F30" s="5" t="n">
        <v>23</v>
      </c>
      <c r="G30" s="5" t="n">
        <v>316.9</v>
      </c>
      <c r="H30" s="5" t="inlineStr"/>
      <c r="I30" s="5" t="inlineStr"/>
      <c r="J30" s="7" t="inlineStr"/>
    </row>
    <row r="31">
      <c r="A31" s="8" t="n">
        <v>30</v>
      </c>
      <c r="B31" s="9" t="inlineStr">
        <is>
          <t>7823476</t>
        </is>
      </c>
      <c r="C31" s="10" t="inlineStr">
        <is>
          <t>SuperDARN Grid data in netCDF format (2020-Oct)</t>
        </is>
      </c>
      <c r="D31" s="10" t="inlineStr">
        <is>
          <t>2020-Oct SuperDARN radar data in netCDF format. These files were produced using versions 3.0 of the public FitACF and make_grid algorithms, using the AACGM v2 coordinate system. Cite this dataset if using our data in a publication.  The RST is available here: https://github.com/SuperDARN/rst  The re</t>
        </is>
      </c>
      <c r="E31" s="8" t="inlineStr"/>
      <c r="F31" s="8" t="n">
        <v>693</v>
      </c>
      <c r="G31" s="8" t="n">
        <v>347.5</v>
      </c>
      <c r="H31" s="8" t="inlineStr"/>
      <c r="I31" s="8" t="inlineStr"/>
      <c r="J31" s="10" t="inlineStr"/>
    </row>
    <row r="32">
      <c r="A32" s="5" t="n">
        <v>31</v>
      </c>
      <c r="B32" s="6" t="inlineStr">
        <is>
          <t>17187000</t>
        </is>
      </c>
      <c r="C32" s="7" t="inlineStr">
        <is>
          <t>Retinal S-cone specific anatomical and physiological data in the thirteen-lined ground squirrel</t>
        </is>
      </c>
      <c r="D32" s="7" t="inlineStr">
        <is>
          <t xml:space="preserve">Original data corresponding to the PNAS (2025) publication titled "S-cone specific circuitry in the outer plexiform layer of a cone-dominant mammal." 
 Data is organized by type: Reconstructions, Electrophysiology, Electroretinography, and Immunohistochemistry. Additonal software may be required to </t>
        </is>
      </c>
      <c r="E32" s="5" t="inlineStr">
        <is>
          <t>.zip</t>
        </is>
      </c>
      <c r="F32" s="5" t="n">
        <v>6</v>
      </c>
      <c r="G32" s="5" t="n">
        <v>29681.1</v>
      </c>
      <c r="H32" s="5" t="inlineStr"/>
      <c r="I32" s="5" t="inlineStr"/>
      <c r="J32" s="7" t="inlineStr"/>
    </row>
    <row r="33">
      <c r="A33" s="8" t="n">
        <v>32</v>
      </c>
      <c r="B33" s="9" t="inlineStr">
        <is>
          <t>10390573</t>
        </is>
      </c>
      <c r="C33" s="10" t="inlineStr">
        <is>
          <t>FastSurferVINN Checkpoints</t>
        </is>
      </c>
      <c r="D33" s="10" t="inlineStr">
        <is>
          <t>Training checkpoints for FastSurferVINN (https://github.com/Deep-MI/FastSurfer) - please cite the paper when using this resource (https://doi.org/10.1016/j.neuroimage.2022.118933).</t>
        </is>
      </c>
      <c r="E33" s="8" t="inlineStr"/>
      <c r="F33" s="8" t="n">
        <v>9</v>
      </c>
      <c r="G33" s="8" t="n">
        <v>181.5</v>
      </c>
      <c r="H33" s="8" t="inlineStr"/>
      <c r="I33" s="8" t="inlineStr"/>
      <c r="J33" s="10" t="inlineStr"/>
    </row>
    <row r="34">
      <c r="A34" s="5" t="n">
        <v>33</v>
      </c>
      <c r="B34" s="6" t="inlineStr">
        <is>
          <t>6970361</t>
        </is>
      </c>
      <c r="C34" s="7" t="inlineStr">
        <is>
          <t>Data from: imageseg: An R package for deep learning-based image segmentation</t>
        </is>
      </c>
      <c r="D34" s="7" t="inlineStr">
        <is>
          <t>1. Convolutional neural networks (CNNs) and deep learning are powerful and robust tools for ecological applications, and are particularly suited for image data. Image segmentation (the classification of all pixels in images) is one such application and can for example be used to assess forest struct</t>
        </is>
      </c>
      <c r="E34" s="5" t="inlineStr">
        <is>
          <t>.zip</t>
        </is>
      </c>
      <c r="F34" s="5" t="n">
        <v>3</v>
      </c>
      <c r="G34" s="5" t="n">
        <v>512.4</v>
      </c>
      <c r="H34" s="5" t="inlineStr"/>
      <c r="I34" s="5" t="inlineStr"/>
      <c r="J34" s="7" t="inlineStr"/>
    </row>
    <row r="35">
      <c r="A35" s="8" t="n">
        <v>34</v>
      </c>
      <c r="B35" s="9" t="inlineStr">
        <is>
          <t>7641708</t>
        </is>
      </c>
      <c r="C35" s="10" t="inlineStr">
        <is>
          <t>Doodleverse/Segmentation Zoo/Seg2Map SegFormer models for CoastTrain/5-class segmentation of RGB 768x768 NAIP images</t>
        </is>
      </c>
      <c r="D35" s="10" t="inlineStr">
        <is>
          <t>Doodleverse/Segmentation Zoo/Seg2Map SegFormer models for CoastTrain/5-class segmentation of RGB 768x768 NAIP images   
 These Segformer model data are based on Coast Train images and associated labels. https://coasttrain.github.io/CoastTrain/docs/Version%201:%20March%202022/data 
 Models have bee</t>
        </is>
      </c>
      <c r="E35" s="8" t="inlineStr">
        <is>
          <t>.h5, .npz, .png</t>
        </is>
      </c>
      <c r="F35" s="8" t="n">
        <v>18</v>
      </c>
      <c r="G35" s="8" t="n">
        <v>43.6</v>
      </c>
      <c r="H35" s="8" t="inlineStr"/>
      <c r="I35" s="8" t="inlineStr"/>
      <c r="J35" s="10" t="inlineStr"/>
    </row>
    <row r="36">
      <c r="A36" s="5" t="n">
        <v>35</v>
      </c>
      <c r="B36" s="6" t="inlineStr">
        <is>
          <t>17657914</t>
        </is>
      </c>
      <c r="C36" s="7" t="inlineStr">
        <is>
          <t xml:space="preserve">Flexible corneal neurotechnology reveals in-vivo pathological retinal oscillations in retinitis pigmentosa mouse models </t>
        </is>
      </c>
      <c r="D36" s="7" t="inlineStr">
        <is>
          <t>This record contains the dataset used in the article:"Litvin, D. et al. Flexible corneal neurotechnology reveals in-vivo pathological retinal oscillations in retinitis pigmentosa mouse models and patients as a biomarker of functional remodeling during retinal degeneration". 
 The Data.zip folder con</t>
        </is>
      </c>
      <c r="E36" s="5" t="inlineStr">
        <is>
          <t>.zip</t>
        </is>
      </c>
      <c r="F36" s="5" t="n">
        <v>3</v>
      </c>
      <c r="G36" s="5" t="n">
        <v>5613.8</v>
      </c>
      <c r="H36" s="5" t="inlineStr"/>
      <c r="I36" s="5" t="inlineStr"/>
      <c r="J36" s="7" t="inlineStr"/>
    </row>
    <row r="37">
      <c r="A37" s="8" t="n">
        <v>36</v>
      </c>
      <c r="B37" s="9" t="inlineStr">
        <is>
          <t>14864106</t>
        </is>
      </c>
      <c r="C37" s="10" t="inlineStr">
        <is>
          <t>Data from -- Automated Thoracolumbar Stump Rib Detection and Analysis in a Large CT Cohort</t>
        </is>
      </c>
      <c r="D37" s="10" t="inlineStr">
        <is>
          <t>This Upload contains the segmentations used in the paper titled " Automated Thoracolumbar Stump Rib Detection and Analysis in a Large CT Cohort ". 
 Rib segmentation masks for: 
 Public VerSe Dataset 
 Public RibFrac Dataset 
 It contains the predictions of our segmentation model as well as manu</t>
        </is>
      </c>
      <c r="E37" s="8" t="inlineStr">
        <is>
          <t>.zip</t>
        </is>
      </c>
      <c r="F37" s="8" t="n">
        <v>5</v>
      </c>
      <c r="G37" s="8" t="n">
        <v>952.3</v>
      </c>
      <c r="H37" s="8" t="inlineStr"/>
      <c r="I37" s="8" t="inlineStr"/>
      <c r="J37" s="10" t="inlineStr"/>
    </row>
    <row r="38">
      <c r="A38" s="5" t="n">
        <v>37</v>
      </c>
      <c r="B38" s="6" t="inlineStr">
        <is>
          <t>7769863</t>
        </is>
      </c>
      <c r="C38" s="7" t="inlineStr">
        <is>
          <t>Photodynamic Ocular Drug Delivery System with Optical Coherence Tomography Oriented Microscale Robots</t>
        </is>
      </c>
      <c r="D38" s="7" t="inlineStr">
        <is>
          <t>Retinal diseases are the most common reason for irreversible blindness worldwide. Common retinal diseases, such as diabetic retinopathy, macular degeneration, retinal vein occlusion, and non-infectious uveitis, mostly require intravitreal steroid injections in clinical management. Unfortunately, int</t>
        </is>
      </c>
      <c r="E38" s="5" t="inlineStr">
        <is>
          <t>.zip</t>
        </is>
      </c>
      <c r="F38" s="5" t="n">
        <v>8</v>
      </c>
      <c r="G38" s="5" t="n">
        <v>1702.5</v>
      </c>
      <c r="H38" s="5" t="inlineStr"/>
      <c r="I38" s="5" t="inlineStr"/>
      <c r="J38" s="7" t="inlineStr"/>
    </row>
    <row r="39">
      <c r="A39" s="8" t="n">
        <v>38</v>
      </c>
      <c r="B39" s="9" t="inlineStr">
        <is>
          <t>17469897</t>
        </is>
      </c>
      <c r="C39" s="10" t="inlineStr">
        <is>
          <t>A Public Ground-Truth Dataset for Handwritten Circuit Diagram Images</t>
        </is>
      </c>
      <c r="D39" s="10" t="inlineStr">
        <is>
          <t xml:space="preserve">CGHD  
 This dataset contains images of hand-drawn electrical circuit diagrams as well as accompanying annotation and segmentation ground-truth files. It is intended to train (e.g. ANN) models for extracting electrical graphs from raster graphics. 
  Content  
  3.269  Annotated Raw Images 
 31 </t>
        </is>
      </c>
      <c r="E39" s="8" t="inlineStr">
        <is>
          <t>.zip</t>
        </is>
      </c>
      <c r="F39" s="8" t="n">
        <v>1</v>
      </c>
      <c r="G39" s="8" t="n">
        <v>4650.9</v>
      </c>
      <c r="H39" s="8" t="inlineStr"/>
      <c r="I39" s="8" t="inlineStr"/>
      <c r="J39" s="10" t="inlineStr"/>
    </row>
    <row r="40">
      <c r="A40" s="5" t="n">
        <v>39</v>
      </c>
      <c r="B40" s="6" t="inlineStr">
        <is>
          <t>12646034</t>
        </is>
      </c>
      <c r="C40" s="7" t="inlineStr">
        <is>
          <t>Comparing the Clinical Viability of Automated Fundus Image Segmentation Methods - Subjective Evaluation Results</t>
        </is>
      </c>
      <c r="D40" s="7" t="inlineStr">
        <is>
          <t xml:space="preserve">A dataset contains answers collected through subjective evaluation presented in the paper  Comparing the Clinical Viability of Automated Fundus Image Segmentation Methods . 
 Results are part of the doctoral thesis named:  "A Methodology for Robustness Evaluation of Deep Learning Methods in Retinal </t>
        </is>
      </c>
      <c r="E40" s="5" t="inlineStr">
        <is>
          <t>.zip</t>
        </is>
      </c>
      <c r="F40" s="5" t="n">
        <v>1</v>
      </c>
      <c r="G40" s="5" t="n">
        <v>0.3</v>
      </c>
      <c r="H40" s="5" t="inlineStr"/>
      <c r="I40" s="5" t="inlineStr"/>
      <c r="J40" s="7" t="inlineStr"/>
    </row>
    <row r="41">
      <c r="A41" s="8" t="n">
        <v>40</v>
      </c>
      <c r="B41" s="9" t="inlineStr">
        <is>
          <t>7651771</t>
        </is>
      </c>
      <c r="C41" s="10" t="inlineStr">
        <is>
          <t>SuperDARN Grid data in netCDF format (2004-Oct)</t>
        </is>
      </c>
      <c r="D41" s="10" t="inlineStr">
        <is>
          <t>2004-Oct SuperDARN radar data in netCDF format. These files were produced using versions 3.0 of the public FitACF and make_grid algorithms, using the AACGM v2 coordinate system. Cite this dataset if using our data in a publication.  The RST is available here: https://github.com/SuperDARN/rst  The re</t>
        </is>
      </c>
      <c r="E41" s="8" t="inlineStr"/>
      <c r="F41" s="8" t="n">
        <v>424</v>
      </c>
      <c r="G41" s="8" t="n">
        <v>318.4</v>
      </c>
      <c r="H41" s="8" t="inlineStr"/>
      <c r="I41" s="8" t="inlineStr"/>
      <c r="J41" s="10" t="inlineStr"/>
    </row>
    <row r="42">
      <c r="A42" s="5" t="n">
        <v>41</v>
      </c>
      <c r="B42" s="6" t="inlineStr">
        <is>
          <t>13807817</t>
        </is>
      </c>
      <c r="C42" s="7" t="inlineStr">
        <is>
          <t>Constrained Layer Tree</t>
        </is>
      </c>
      <c r="D42" s="7" t="inlineStr"/>
      <c r="E42" s="5" t="inlineStr">
        <is>
          <t>.zip</t>
        </is>
      </c>
      <c r="F42" s="5" t="n">
        <v>1</v>
      </c>
      <c r="G42" s="5" t="n">
        <v>29.7</v>
      </c>
      <c r="H42" s="5" t="inlineStr"/>
      <c r="I42" s="5" t="inlineStr"/>
      <c r="J42" s="7" t="inlineStr"/>
    </row>
    <row r="43">
      <c r="A43" s="8" t="n">
        <v>42</v>
      </c>
      <c r="B43" s="9" t="inlineStr">
        <is>
          <t>4976257</t>
        </is>
      </c>
      <c r="C43" s="10" t="inlineStr">
        <is>
          <t>The cell adhesion molecule Sdk1 shapes assembly of a retinal circuit that detects localized edges</t>
        </is>
      </c>
      <c r="D43" s="10" t="inlineStr">
        <is>
          <t>Nearly 50 different mouse retinal ganglion cell (RGC) types sample the visual scene for distinct features. RGC feature selectivity arises from its synapses with a specific subset of amacrine (AC) and bipolar cell (BC) types, but how RGC dendrites arborize and collect input from these specific subset</t>
        </is>
      </c>
      <c r="E43" s="8" t="inlineStr">
        <is>
          <t>.mat, .zip</t>
        </is>
      </c>
      <c r="F43" s="8" t="n">
        <v>2</v>
      </c>
      <c r="G43" s="8" t="n">
        <v>3293.1</v>
      </c>
      <c r="H43" s="8" t="inlineStr"/>
      <c r="I43" s="8" t="inlineStr"/>
      <c r="J43" s="10" t="inlineStr"/>
    </row>
    <row r="44">
      <c r="A44" s="5" t="n">
        <v>43</v>
      </c>
      <c r="B44" s="6" t="inlineStr">
        <is>
          <t>3832094</t>
        </is>
      </c>
      <c r="C44" s="7" t="inlineStr">
        <is>
          <t>Measurement of Absolute Retinal Blood Flow Using a Laser Doppler Velocimeter Combined with Adaptive Optics</t>
        </is>
      </c>
      <c r="D44" s="7" t="inlineStr">
        <is>
          <t>Purpose : Development and validation of an absolute laser Doppler velocimeter (LDV) based on an adaptive optical fundus camera which provides simultaneously high definition images of the fundus vessels and absolute maximal red blood cells (RBCs) velocity in order to calculate the absolute retinal bl</t>
        </is>
      </c>
      <c r="E44" s="5" t="inlineStr">
        <is>
          <t>.zip</t>
        </is>
      </c>
      <c r="F44" s="5" t="n">
        <v>3</v>
      </c>
      <c r="G44" s="5" t="n">
        <v>1322.6</v>
      </c>
      <c r="H44" s="5" t="inlineStr"/>
      <c r="I44" s="5" t="inlineStr"/>
      <c r="J44" s="7" t="inlineStr"/>
    </row>
    <row r="45">
      <c r="A45" s="8" t="n">
        <v>44</v>
      </c>
      <c r="B45" s="9" t="inlineStr">
        <is>
          <t>17940261</t>
        </is>
      </c>
      <c r="C45" s="10" t="inlineStr">
        <is>
          <t>Rocaille Segmentation Dataset</t>
        </is>
      </c>
      <c r="D45" s="10" t="inlineStr">
        <is>
          <t>This is the dataset introduced and described in the paper  "A Multimodal Dataset of 18th-Century Prints for Segmentation and Analysis of Rocaille Ornaments" (Hudcovic et al.):  
 We present a multimodal dataset for the computational study of 18th-century Rococo ornamental prints. The Rocaille, the</t>
        </is>
      </c>
      <c r="E45" s="8" t="inlineStr">
        <is>
          <t>.jpg, .zip</t>
        </is>
      </c>
      <c r="F45" s="8" t="n">
        <v>5</v>
      </c>
      <c r="G45" s="8" t="n">
        <v>13455.5</v>
      </c>
      <c r="H45" s="8" t="inlineStr"/>
      <c r="I45" s="8" t="inlineStr"/>
      <c r="J45" s="10" t="inlineStr"/>
    </row>
    <row r="46">
      <c r="A46" s="5" t="n">
        <v>45</v>
      </c>
      <c r="B46" s="6" t="inlineStr">
        <is>
          <t>17432128</t>
        </is>
      </c>
      <c r="C46" s="7" t="inlineStr">
        <is>
          <t>PomerFish: A dataset for fishes across Pomerania freshwater waterbodies in-situ environments</t>
        </is>
      </c>
      <c r="D46" s="7" t="inlineStr">
        <is>
          <t>Overview:  
 We established a novel dataset through underwater video surveillance across temperate freshwater habitats in the Pomeranian region of Central Europe, focusing on endangered Salmon and ecologically significant species. Researchers collected these videos between 2015 and 2024 using a GoPr</t>
        </is>
      </c>
      <c r="E46" s="5" t="inlineStr">
        <is>
          <t>.rar</t>
        </is>
      </c>
      <c r="F46" s="5" t="n">
        <v>4</v>
      </c>
      <c r="G46" s="5" t="n">
        <v>23999</v>
      </c>
      <c r="H46" s="5" t="inlineStr"/>
      <c r="I46" s="5" t="inlineStr"/>
      <c r="J46" s="7" t="inlineStr"/>
    </row>
    <row r="47">
      <c r="A47" s="8" t="n">
        <v>46</v>
      </c>
      <c r="B47" s="9" t="inlineStr">
        <is>
          <t>56515</t>
        </is>
      </c>
      <c r="C47" s="10" t="inlineStr">
        <is>
          <t>Retinal status analysis method based on feature extraction and quantitative grading in OCT images</t>
        </is>
      </c>
      <c r="D47" s="10" t="inlineStr">
        <is>
          <t>The raw database includes 200 retinal OCT images judged as normal by ophthalmologists and 100 images with various abnormalities. The software includes the main steps for retinal status analysis. The software was carried out in Matlab.</t>
        </is>
      </c>
      <c r="E47" s="8" t="inlineStr">
        <is>
          <t>.rar</t>
        </is>
      </c>
      <c r="F47" s="8" t="n">
        <v>2</v>
      </c>
      <c r="G47" s="8" t="n">
        <v>172.4</v>
      </c>
      <c r="H47" s="8" t="inlineStr"/>
      <c r="I47" s="8" t="inlineStr"/>
      <c r="J47" s="10" t="inlineStr"/>
    </row>
    <row r="48">
      <c r="A48" s="5" t="n">
        <v>47</v>
      </c>
      <c r="B48" s="6" t="inlineStr">
        <is>
          <t>7865364</t>
        </is>
      </c>
      <c r="C48" s="7" t="inlineStr">
        <is>
          <t>Doodleverse/Segmentation Zoo Res-UNet models for 2-class (water, other) segmentation of Sentinel-2 and Landsat-7/8 3-ban</t>
        </is>
      </c>
      <c r="D48" s="7" t="inlineStr">
        <is>
          <t xml:space="preserve">Doodleverse/Segmentation Zoo Res-UNet models for 2-class (water, other) segmentation of Sentinel-2 and Landsat-7/8 3-band (RGB) images of coasts.   
   Version 3: Updated 2023-04-25   
 These Residual-UNet model data are based on RGB (red, green, and blue) images of coasts and associated labels. 
</t>
        </is>
      </c>
      <c r="E48" s="5" t="inlineStr">
        <is>
          <t>.h5, .npz, .png</t>
        </is>
      </c>
      <c r="F48" s="5" t="n">
        <v>27</v>
      </c>
      <c r="G48" s="5" t="n">
        <v>332.2</v>
      </c>
      <c r="H48" s="5" t="inlineStr"/>
      <c r="I48" s="5" t="inlineStr"/>
      <c r="J48" s="7" t="inlineStr"/>
    </row>
    <row r="49">
      <c r="A49" s="8" t="n">
        <v>48</v>
      </c>
      <c r="B49" s="9" t="inlineStr">
        <is>
          <t>3902832</t>
        </is>
      </c>
      <c r="C49" s="10" t="inlineStr">
        <is>
          <t>Data from: Predicted tracking error triggers catch-up saccades during smooth pursuit</t>
        </is>
      </c>
      <c r="D49" s="10" t="inlineStr">
        <is>
          <t xml:space="preserve">For foveated animals, visual tracking of moving stimuli requires the synergy between saccades and smooth pursuit eye movements. Deciding to trigger a catch-up saccade during pursuit influences the quality of visual input. This decision is a trade-off between tolerating sustained position error when </t>
        </is>
      </c>
      <c r="E49" s="8" t="inlineStr">
        <is>
          <t>.tar, .zip</t>
        </is>
      </c>
      <c r="F49" s="8" t="n">
        <v>9</v>
      </c>
      <c r="G49" s="8" t="n">
        <v>23548.9</v>
      </c>
      <c r="H49" s="8" t="inlineStr"/>
      <c r="I49" s="8" t="inlineStr"/>
      <c r="J49" s="10" t="inlineStr"/>
    </row>
    <row r="50">
      <c r="A50" s="5" t="n">
        <v>49</v>
      </c>
      <c r="B50" s="6" t="inlineStr">
        <is>
          <t>16744782</t>
        </is>
      </c>
      <c r="C50" s="7" t="inlineStr">
        <is>
          <t>HRF-Seg+: A Multi-Structure Annotated Fundus Image Dataset with Optic Disc, Cup, Vessels, Alpha and Beta Zones</t>
        </is>
      </c>
      <c r="D50" s="7" t="inlineStr">
        <is>
          <t>HRF-Seg+ is an extended version of the public HRF (High-Resolution Fundus) dataset that includes pixel-wise annotated segmentation masks for five key retinal structures:  - Optic Disc (purple) - Optic Cup (brown) - Retinal Vessels (orange) - Peripapillary Alpha Zone (blue-green) - Peripapillary Beta</t>
        </is>
      </c>
      <c r="E50" s="5" t="inlineStr">
        <is>
          <t>.zip</t>
        </is>
      </c>
      <c r="F50" s="5" t="n">
        <v>1</v>
      </c>
      <c r="G50" s="5" t="n">
        <v>3.2</v>
      </c>
      <c r="H50" s="5" t="inlineStr"/>
      <c r="I50" s="5" t="inlineStr"/>
      <c r="J50" s="7" t="inlineStr"/>
    </row>
    <row r="51">
      <c r="A51" s="8" t="n">
        <v>50</v>
      </c>
      <c r="B51" s="9" t="inlineStr">
        <is>
          <t>8271091</t>
        </is>
      </c>
      <c r="C51" s="10" t="inlineStr">
        <is>
          <t>SuperDARN Grid data in netCDF format (2017-Oct)</t>
        </is>
      </c>
      <c r="D51" s="10" t="inlineStr">
        <is>
          <t>2017-Oct SuperDARN radar data in netCDF format. These files were produced using versions 3.0 of the public FitACF and make_grid algorithms, using the AACGM v2 coordinate system. Cite this dataset if using our data in a publication.  The RST is available here: https://github.com/SuperDARN/rst  The re</t>
        </is>
      </c>
      <c r="E51" s="8" t="inlineStr"/>
      <c r="F51" s="8" t="n">
        <v>929</v>
      </c>
      <c r="G51" s="8" t="n">
        <v>435.1</v>
      </c>
      <c r="H51" s="8" t="inlineStr"/>
      <c r="I51" s="8" t="inlineStr"/>
      <c r="J51" s="10" t="inlineStr"/>
    </row>
    <row r="52">
      <c r="A52" s="5" t="n">
        <v>51</v>
      </c>
      <c r="B52" s="6" t="inlineStr">
        <is>
          <t>6378171</t>
        </is>
      </c>
      <c r="C52" s="7" t="inlineStr">
        <is>
          <t>Emergence of a geometric pattern of cell fates from tissue-scale mechanics in the Drosophila eye</t>
        </is>
      </c>
      <c r="D52" s="7" t="inlineStr">
        <is>
          <t>Pattern formation of biological structures involves the arrangement of different types of cells in an ordered spatial configuration. In this study, we investigate the mechanism of patterning the  Drosophila  eye into a precise triangular grid of photoreceptor clusters called ommatidia. Previous stud</t>
        </is>
      </c>
      <c r="E52" s="5" t="inlineStr">
        <is>
          <t>.mat</t>
        </is>
      </c>
      <c r="F52" s="5" t="n">
        <v>5</v>
      </c>
      <c r="G52" s="5" t="n">
        <v>2060.4</v>
      </c>
      <c r="H52" s="5" t="inlineStr"/>
      <c r="I52" s="5" t="inlineStr"/>
      <c r="J52" s="7" t="inlineStr"/>
    </row>
    <row r="53">
      <c r="A53" s="8" t="n">
        <v>52</v>
      </c>
      <c r="B53" s="9" t="inlineStr">
        <is>
          <t>3627901</t>
        </is>
      </c>
      <c r="C53" s="10" t="inlineStr">
        <is>
          <t>Dataset for DOI: 10.1109/LRA.2019.2927936. "Multi-DoF Force Characterization of Soft Actuators"</t>
        </is>
      </c>
      <c r="D53" s="10" t="inlineStr">
        <is>
          <t>This dataset contains the raw measurement data and MATLAB scripts for the following publication: S. Joshi and J. Paik, "Multi-DoF Force Characterization of Soft Actuators," in  IEEE Robotics and Automation Letters , vol. 4, no. 4, pp. 3679-3686, Oct. 2019. doi: 10.1109/LRA.2019.2927936 
The .csv</t>
        </is>
      </c>
      <c r="E53" s="8" t="inlineStr">
        <is>
          <t>.zip</t>
        </is>
      </c>
      <c r="F53" s="8" t="n">
        <v>3</v>
      </c>
      <c r="G53" s="8" t="n">
        <v>18.7</v>
      </c>
      <c r="H53" s="8" t="inlineStr"/>
      <c r="I53" s="8" t="inlineStr"/>
      <c r="J53" s="10" t="inlineStr"/>
    </row>
    <row r="54">
      <c r="A54" s="5" t="n">
        <v>53</v>
      </c>
      <c r="B54" s="6" t="inlineStr">
        <is>
          <t>7626001</t>
        </is>
      </c>
      <c r="C54" s="7" t="inlineStr">
        <is>
          <t>Motor recalibration of visual and saccadic maps</t>
        </is>
      </c>
      <c r="D54" s="7" t="inlineStr">
        <is>
          <t xml:space="preserve">How does the brain maintain an accurate visual representation of external space? Movement errors following saccade execution provide sufficient information to recalibrate motor and visual space. Here, we asked whether spatial information for vision and saccades is processed in shared or in separate </t>
        </is>
      </c>
      <c r="E54" s="5" t="inlineStr">
        <is>
          <t>.mat</t>
        </is>
      </c>
      <c r="F54" s="5" t="n">
        <v>6</v>
      </c>
      <c r="G54" s="5" t="n">
        <v>0.1</v>
      </c>
      <c r="H54" s="5" t="inlineStr"/>
      <c r="I54" s="5" t="inlineStr"/>
      <c r="J54" s="7" t="inlineStr"/>
    </row>
    <row r="55">
      <c r="A55" s="8" t="n">
        <v>54</v>
      </c>
      <c r="B55" s="9" t="inlineStr">
        <is>
          <t>7650286</t>
        </is>
      </c>
      <c r="C55" s="10" t="inlineStr">
        <is>
          <t>SuperDARN Grid data in netCDF format (2011-Oct)</t>
        </is>
      </c>
      <c r="D55" s="10" t="inlineStr">
        <is>
          <t>2011-Oct SuperDARN radar data in netCDF format. These files were produced using versions 3.0 of the public FitACF and make_grid algorithms, using the AACGM v2 coordinate system. Cite this dataset if using our data in a publication.  The RST is available here: https://github.com/SuperDARN/rst  The re</t>
        </is>
      </c>
      <c r="E55" s="8" t="inlineStr"/>
      <c r="F55" s="8" t="n">
        <v>728</v>
      </c>
      <c r="G55" s="8" t="n">
        <v>785</v>
      </c>
      <c r="H55" s="8" t="inlineStr"/>
      <c r="I55" s="8" t="inlineStr"/>
      <c r="J55" s="10" t="inlineStr"/>
    </row>
    <row r="56">
      <c r="A56" s="5" t="n">
        <v>55</v>
      </c>
      <c r="B56" s="6" t="inlineStr">
        <is>
          <t>17408396</t>
        </is>
      </c>
      <c r="C56" s="7" t="inlineStr">
        <is>
          <t>The human fovea is relatively horizontally elongated in infantile nystagmus</t>
        </is>
      </c>
      <c r="D56" s="7" t="inlineStr">
        <is>
          <t>Numerical data associated with the manuscript, MATLAB code to identify the deepest foveal scan from a stack of foveal OCT images, and OCT images of the deepest scans from study participants.</t>
        </is>
      </c>
      <c r="E56" s="5" t="inlineStr">
        <is>
          <t>.tif</t>
        </is>
      </c>
      <c r="F56" s="5" t="n">
        <v>50</v>
      </c>
      <c r="G56" s="5" t="n">
        <v>48</v>
      </c>
      <c r="H56" s="5" t="inlineStr"/>
      <c r="I56" s="5" t="inlineStr"/>
      <c r="J56" s="7" t="inlineStr"/>
    </row>
    <row r="57">
      <c r="A57" s="8" t="n">
        <v>56</v>
      </c>
      <c r="B57" s="9" t="inlineStr">
        <is>
          <t>11091057</t>
        </is>
      </c>
      <c r="C57" s="10" t="inlineStr">
        <is>
          <t>NMR spectroscopy-based metabolomics of organotypic retinal explants</t>
        </is>
      </c>
      <c r="D57" s="10" t="inlineStr">
        <is>
          <t>The retina consumes massive amounts of energy, yet its metabolism and substrate exploitation remain poorly understood. Here, we used a murine explant model to manipulate retinal energy metabolism under entirely controlled conditions and utilized  1 H-NMR spectroscopy-based metabolomics, in situenzym</t>
        </is>
      </c>
      <c r="E57" s="8" t="inlineStr">
        <is>
          <t>.zip</t>
        </is>
      </c>
      <c r="F57" s="8" t="n">
        <v>2</v>
      </c>
      <c r="G57" s="8" t="n">
        <v>9.1</v>
      </c>
      <c r="H57" s="8" t="inlineStr"/>
      <c r="I57" s="8" t="inlineStr"/>
      <c r="J57" s="10" t="inlineStr"/>
    </row>
    <row r="58">
      <c r="A58" s="5" t="n">
        <v>57</v>
      </c>
      <c r="B58" s="6" t="inlineStr">
        <is>
          <t>4967771</t>
        </is>
      </c>
      <c r="C58" s="7" t="inlineStr">
        <is>
          <t>Data from: Visual approach computation in feeding hoverflies</t>
        </is>
      </c>
      <c r="D58" s="7" t="inlineStr">
        <is>
          <t xml:space="preserve">On warm sunny days female hoverflies are often observed feeding from a wide range of wild and cultivated flowers. In doing so, hoverflies serve a vital role as alternative pollinators, and suggested to be the most important after bees and bumblebees. Unless the flower hoverflies are feeding from is </t>
        </is>
      </c>
      <c r="E58" s="5" t="inlineStr">
        <is>
          <t>.mat, .zip</t>
        </is>
      </c>
      <c r="F58" s="5" t="n">
        <v>12</v>
      </c>
      <c r="G58" s="5" t="n">
        <v>3.2</v>
      </c>
      <c r="H58" s="5" t="inlineStr"/>
      <c r="I58" s="5" t="inlineStr"/>
      <c r="J58" s="7" t="inlineStr"/>
    </row>
    <row r="59">
      <c r="A59" s="8" t="n">
        <v>58</v>
      </c>
      <c r="B59" s="9" t="inlineStr">
        <is>
          <t>4970545</t>
        </is>
      </c>
      <c r="C59" s="10" t="inlineStr">
        <is>
          <t>Data from: Quantitative analysis of fundus-image sequences reveals phase of spontaneous venous pulsations</t>
        </is>
      </c>
      <c r="D59" s="10" t="inlineStr">
        <is>
          <t>Purpose: Spontaneous venous pulsation correlates negatively with elevated intracranial pressure and papilledema, and it relates to glaucoma. Yet, its etiology remains unclear. A key element to elucidate its underlying mechanism is the time at which collapse occurs with respect to the heart cycle, bu</t>
        </is>
      </c>
      <c r="E59" s="8" t="inlineStr">
        <is>
          <t>.zip</t>
        </is>
      </c>
      <c r="F59" s="8" t="n">
        <v>2</v>
      </c>
      <c r="G59" s="8" t="n">
        <v>113.1</v>
      </c>
      <c r="H59" s="8" t="inlineStr"/>
      <c r="I59" s="8" t="inlineStr"/>
      <c r="J59" s="10" t="inlineStr"/>
    </row>
    <row r="60">
      <c r="A60" s="5" t="n">
        <v>59</v>
      </c>
      <c r="B60" s="6" t="inlineStr">
        <is>
          <t>4957619</t>
        </is>
      </c>
      <c r="C60" s="7" t="inlineStr">
        <is>
          <t>Data from: Development of machine learning models for diagnosis of glaucoma</t>
        </is>
      </c>
      <c r="D60" s="7" t="inlineStr">
        <is>
          <t>The study aimed to develop machine learning models that have strong prediction power and interpretability for diagnosis of glaucoma based on retinal nerve fiber layer (RNFL) thickness and visual field (VF). We collected various candidate features from the examination of retinal nerve fiber layer (RN</t>
        </is>
      </c>
      <c r="E60" s="5" t="inlineStr">
        <is>
          <t>.zip</t>
        </is>
      </c>
      <c r="F60" s="5" t="n">
        <v>1</v>
      </c>
      <c r="G60" s="5" t="n">
        <v>0</v>
      </c>
      <c r="H60" s="5" t="inlineStr"/>
      <c r="I60" s="5" t="inlineStr"/>
      <c r="J60" s="7" t="inlineStr"/>
    </row>
    <row r="61">
      <c r="A61" s="8" t="n">
        <v>60</v>
      </c>
      <c r="B61" s="9" t="inlineStr">
        <is>
          <t>4462320</t>
        </is>
      </c>
      <c r="C61" s="10" t="inlineStr">
        <is>
          <t>Classification of pseudocalcium visual responses from mouse retinal ganglion cells</t>
        </is>
      </c>
      <c r="D61" s="10" t="inlineStr">
        <is>
          <t>The dataset includes spike data of 9 different recordings from mouse retina ganglion cells and the  Pseudocalcium  traces after convolving spikes with OGB kernel.</t>
        </is>
      </c>
      <c r="E61" s="8" t="inlineStr">
        <is>
          <t>.zip</t>
        </is>
      </c>
      <c r="F61" s="8" t="n">
        <v>3</v>
      </c>
      <c r="G61" s="8" t="n">
        <v>296.5</v>
      </c>
      <c r="H61" s="8" t="inlineStr"/>
      <c r="I61" s="8" t="inlineStr"/>
      <c r="J61" s="10" t="inlineStr"/>
    </row>
    <row r="62">
      <c r="A62" s="5" t="n">
        <v>61</v>
      </c>
      <c r="B62" s="6" t="inlineStr">
        <is>
          <t>7604083</t>
        </is>
      </c>
      <c r="C62" s="7" t="inlineStr">
        <is>
          <t>Doodleverse/Segmentation Zoo Res-UNet models for Aerial/NOAA ERI/2-class (water, nowater) segmentation of RGB 1024x768 h</t>
        </is>
      </c>
      <c r="D62" s="7" t="inlineStr">
        <is>
          <t>Doodleverse/Segmentation Zoo Res-UNet models for Aerial/NOAA ERI/2-class (water, nowater) segmentation of RGB 1024x768 high-res. images   
 Residual-UNet models are trained on 1,179 pairs of human-generated segmentation labels and images from Emergency Response Imagery (ERI) collected by US Nationa</t>
        </is>
      </c>
      <c r="E62" s="5" t="inlineStr">
        <is>
          <t>.h5, .npz, .png</t>
        </is>
      </c>
      <c r="F62" s="5" t="n">
        <v>8</v>
      </c>
      <c r="G62" s="5" t="n">
        <v>66.40000000000001</v>
      </c>
      <c r="H62" s="5" t="inlineStr"/>
      <c r="I62" s="5" t="inlineStr"/>
      <c r="J62" s="7" t="inlineStr"/>
    </row>
    <row r="63">
      <c r="A63" s="8" t="n">
        <v>62</v>
      </c>
      <c r="B63" s="9" t="inlineStr">
        <is>
          <t>7566797</t>
        </is>
      </c>
      <c r="C63" s="10" t="inlineStr">
        <is>
          <t>Doodleverse/Segmentation Zoo/Seg2Map Res-UNet models for FloodNet/10-class segmentation of RGB 1024x768 UAV images</t>
        </is>
      </c>
      <c r="D63" s="10" t="inlineStr">
        <is>
          <t>Doodleverse/Segmentation Zoo/Seg2Map Res-UNet models for FloodNet/10-class segmentation of RGB 1024x768   UAV images   
 These Residual-UNet model data are based on [FloodNet](https://github.com/BinaLab/FloodNet-Challenge-EARTHVISION2021) images and associated labels. 
 Models have been created us</t>
        </is>
      </c>
      <c r="E63" s="8" t="inlineStr">
        <is>
          <t>.h5, .npz, .png</t>
        </is>
      </c>
      <c r="F63" s="8" t="n">
        <v>53</v>
      </c>
      <c r="G63" s="8" t="n">
        <v>638.3</v>
      </c>
      <c r="H63" s="8" t="inlineStr"/>
      <c r="I63" s="8" t="inlineStr"/>
      <c r="J63" s="10" t="inlineStr"/>
    </row>
    <row r="64">
      <c r="A64" s="5" t="n">
        <v>63</v>
      </c>
      <c r="B64" s="6" t="inlineStr">
        <is>
          <t>7505822</t>
        </is>
      </c>
      <c r="C64" s="7" t="inlineStr">
        <is>
          <t>Retinal Fundus Multi-Disease Image Dataset (RFMiD) 2.0</t>
        </is>
      </c>
      <c r="D64" s="7" t="inlineStr">
        <is>
          <t>Retinal Fundus Multi-disease Image Dataset (RFMiD 2.0) is an auxiliary dataset to our previously published dataset. RFMiD 2.0 is a more challenging dataset to research society to develop the computer-based disease diagnosis system. Diabetic Retinopathy, cataracts, and refractive error in the eye are</t>
        </is>
      </c>
      <c r="E64" s="5" t="inlineStr">
        <is>
          <t>.zip</t>
        </is>
      </c>
      <c r="F64" s="5" t="n">
        <v>1</v>
      </c>
      <c r="G64" s="5" t="n">
        <v>60.7</v>
      </c>
      <c r="H64" s="5" t="inlineStr"/>
      <c r="I64" s="5" t="inlineStr"/>
      <c r="J64" s="7" t="inlineStr"/>
    </row>
    <row r="65">
      <c r="A65" s="8" t="n">
        <v>64</v>
      </c>
      <c r="B65" s="9" t="inlineStr">
        <is>
          <t>14900801</t>
        </is>
      </c>
      <c r="C65" s="10" t="inlineStr">
        <is>
          <t>AMPERE Summary Plot Movies (2024-Oct)</t>
        </is>
      </c>
      <c r="D65" s="10" t="inlineStr">
        <is>
          <t>2024-Oct AMPERE summary plot movies. See included zenodo_summary_plot_movie_description document for details.</t>
        </is>
      </c>
      <c r="E65" s="8" t="inlineStr">
        <is>
          <t>.zip</t>
        </is>
      </c>
      <c r="F65" s="8" t="n">
        <v>32</v>
      </c>
      <c r="G65" s="8" t="n">
        <v>2800.2</v>
      </c>
      <c r="H65" s="8" t="inlineStr"/>
      <c r="I65" s="8" t="inlineStr"/>
      <c r="J65" s="10" t="inlineStr"/>
    </row>
    <row r="66">
      <c r="A66" s="5" t="n">
        <v>65</v>
      </c>
      <c r="B66" s="6" t="inlineStr">
        <is>
          <t>7683399</t>
        </is>
      </c>
      <c r="C66" s="7" t="inlineStr">
        <is>
          <t>Asymmetric retinal direction tuning predicts optokinetic eye movements across stimulus conditions</t>
        </is>
      </c>
      <c r="D66" s="7" t="inlineStr">
        <is>
          <t>Across species, the optokinetic reflex (OKR) stabilizes vision during self-motion. OKR occurs when ON direction-selective retinal ganglion cells (oDSGCs) detect slow, global image motion on the retina. How oDSGC activity is integrated centrally to generate behavior remains unknown. Here, we discover</t>
        </is>
      </c>
      <c r="E66" s="5" t="inlineStr">
        <is>
          <t>.mat</t>
        </is>
      </c>
      <c r="F66" s="5" t="n">
        <v>19</v>
      </c>
      <c r="G66" s="5" t="n">
        <v>660.6</v>
      </c>
      <c r="H66" s="5" t="inlineStr"/>
      <c r="I66" s="5" t="inlineStr"/>
      <c r="J66" s="7" t="inlineStr"/>
    </row>
    <row r="67">
      <c r="A67" s="8" t="n">
        <v>66</v>
      </c>
      <c r="B67" s="9" t="inlineStr">
        <is>
          <t>4934690</t>
        </is>
      </c>
      <c r="C67" s="10" t="inlineStr">
        <is>
          <t>Data from: Multi-contrast submillimetric 3-Tesla hippocampal subfield segmentation protocol and dataset</t>
        </is>
      </c>
      <c r="D67" s="10" t="inlineStr">
        <is>
          <t>The hippocampus is composed of distinct anatomical subregions that participate in multiple cognitive processes and are differentially affected in prevalent neurological and psychiatric conditions. Advances in high-field MRI allow for the non-invasive identification of hippocampal substructure. These</t>
        </is>
      </c>
      <c r="E67" s="8" t="inlineStr">
        <is>
          <t>.tar.gz, .zip</t>
        </is>
      </c>
      <c r="F67" s="8" t="n">
        <v>8</v>
      </c>
      <c r="G67" s="8" t="n">
        <v>9464.299999999999</v>
      </c>
      <c r="H67" s="8" t="inlineStr"/>
      <c r="I67" s="8" t="inlineStr"/>
      <c r="J67" s="10" t="inlineStr"/>
    </row>
    <row r="68">
      <c r="A68" s="5" t="n">
        <v>67</v>
      </c>
      <c r="B68" s="6" t="inlineStr">
        <is>
          <t>4955990</t>
        </is>
      </c>
      <c r="C68" s="7" t="inlineStr">
        <is>
          <t>Data from: Transformation of stimulus correlations by the retina</t>
        </is>
      </c>
      <c r="D68" s="7" t="inlineStr">
        <is>
          <t>Redundancies and correlations in the responses of sensory neurons may seem to waste neural resources, but they can also carry cues about structured stimuli and may help the brain to correct for response errors. To investigate the effect of stimulus structure on redundancy in retina, we measured simu</t>
        </is>
      </c>
      <c r="E68" s="5" t="inlineStr">
        <is>
          <t>.zip</t>
        </is>
      </c>
      <c r="F68" s="5" t="n">
        <v>8</v>
      </c>
      <c r="G68" s="5" t="n">
        <v>609</v>
      </c>
      <c r="H68" s="5" t="inlineStr"/>
      <c r="I68" s="5" t="inlineStr"/>
      <c r="J68" s="7" t="inlineStr"/>
    </row>
    <row r="69">
      <c r="A69" s="8" t="n">
        <v>68</v>
      </c>
      <c r="B69" s="9" t="inlineStr">
        <is>
          <t>13916845</t>
        </is>
      </c>
      <c r="C69" s="10" t="inlineStr">
        <is>
          <t>Segmentation Dataset for Periorbital Segmentation and Distance Prediction</t>
        </is>
      </c>
      <c r="D69" s="10" t="inlineStr">
        <is>
          <t>High quality segmentation of the eyes and lids is an essential step in developing clinically relevant deep learning models for oculoplastic and craniofacial surgery. However, there are currently no publicly available datasets suitable for this purpose. As such, we have developed and validated a nove</t>
        </is>
      </c>
      <c r="E69" s="8" t="inlineStr">
        <is>
          <t>.zip</t>
        </is>
      </c>
      <c r="F69" s="8" t="n">
        <v>3</v>
      </c>
      <c r="G69" s="8" t="n">
        <v>181.3</v>
      </c>
      <c r="H69" s="8" t="inlineStr"/>
      <c r="I69" s="8" t="inlineStr"/>
      <c r="J69" s="10" t="inlineStr"/>
    </row>
    <row r="70">
      <c r="A70" s="5" t="n">
        <v>69</v>
      </c>
      <c r="B70" s="6" t="inlineStr">
        <is>
          <t>15054026</t>
        </is>
      </c>
      <c r="C70" s="7" t="inlineStr">
        <is>
          <t>OCT images of sodium iodate induced retinal degeneration and corresponding ML models for image segmentation</t>
        </is>
      </c>
      <c r="D70" s="7" t="inlineStr"/>
      <c r="E70" s="5" t="inlineStr">
        <is>
          <t>.zip</t>
        </is>
      </c>
      <c r="F70" s="5" t="n">
        <v>2</v>
      </c>
      <c r="G70" s="5" t="n">
        <v>668.5</v>
      </c>
      <c r="H70" s="5" t="inlineStr"/>
      <c r="I70" s="5" t="inlineStr"/>
      <c r="J70" s="7" t="inlineStr"/>
    </row>
    <row r="71">
      <c r="A71" s="8" t="n">
        <v>70</v>
      </c>
      <c r="B71" s="9" t="inlineStr">
        <is>
          <t>7576894</t>
        </is>
      </c>
      <c r="C71" s="10" t="inlineStr">
        <is>
          <t>Doodleverse/Segmentation Zoo/Seg2Map Res-UNet models for OpenEarthMap/9-class segmentation of RGB 512x512 high-res. imag</t>
        </is>
      </c>
      <c r="D71" s="10" t="inlineStr">
        <is>
          <t xml:space="preserve">Doodleverse/Segmentation Zoo/Seg2Map Res-UNet models for OpenEarthMap/9-class segmentation of RGB 512x512 high-res. images   
 These Residual-UNet model data are based on the [OpenEarthMap dataset](https://open-earth-map.org/) 
 Models have been created using Segmentation Gym* using the following </t>
        </is>
      </c>
      <c r="E71" s="8" t="inlineStr">
        <is>
          <t>.h5, .npz, .png</t>
        </is>
      </c>
      <c r="F71" s="8" t="n">
        <v>33</v>
      </c>
      <c r="G71" s="8" t="n">
        <v>398.5</v>
      </c>
      <c r="H71" s="8" t="inlineStr"/>
      <c r="I71" s="8" t="inlineStr"/>
      <c r="J71" s="10" t="inlineStr"/>
    </row>
    <row r="72">
      <c r="A72" s="5" t="n">
        <v>71</v>
      </c>
      <c r="B72" s="6" t="inlineStr">
        <is>
          <t>7113948</t>
        </is>
      </c>
      <c r="C72" s="7" t="inlineStr">
        <is>
          <t>OCT porcine kidney dataset for percutaneous nephrostomy guidance</t>
        </is>
      </c>
      <c r="D72" s="7" t="inlineStr">
        <is>
          <t xml:space="preserve">Code  [ GitHub ] |  Publication  [ Biomedical Optics Express'21 ] 
 Abstract 
 Percutaneous renal access is the critical initial step in many medical settings. In order to obtain the best surgical outcome with minimum patient morbidity, an improved method for access to the renal calyx is needed. In </t>
        </is>
      </c>
      <c r="E72" s="5" t="inlineStr">
        <is>
          <t>.zip</t>
        </is>
      </c>
      <c r="F72" s="5" t="n">
        <v>1</v>
      </c>
      <c r="G72" s="5" t="n">
        <v>627.4</v>
      </c>
      <c r="H72" s="5" t="inlineStr"/>
      <c r="I72" s="5" t="inlineStr"/>
      <c r="J72" s="7" t="inlineStr"/>
    </row>
    <row r="73">
      <c r="A73" s="8" t="n">
        <v>72</v>
      </c>
      <c r="B73" s="9" t="inlineStr">
        <is>
          <t>8289533</t>
        </is>
      </c>
      <c r="C73" s="10" t="inlineStr">
        <is>
          <t>2023 IEEE SPS Video and Image Processing (VIP) Cup: Ophthalmic Biomarker Detection Phase 2</t>
        </is>
      </c>
      <c r="D73" s="10" t="inlineStr">
        <is>
          <t>Ophthalmic clinical trials that study treatment efficacy of eye diseases are performed with a specific purpose and a set of procedures that are predetermined before trial initiation. Hence, they result in a controlled data collection process with gradual changes in the state of a diseased eye. In ge</t>
        </is>
      </c>
      <c r="E73" s="8" t="inlineStr">
        <is>
          <t>.zip</t>
        </is>
      </c>
      <c r="F73" s="8" t="n">
        <v>1</v>
      </c>
      <c r="G73" s="8" t="n">
        <v>20</v>
      </c>
      <c r="H73" s="8" t="inlineStr"/>
      <c r="I73" s="8" t="inlineStr"/>
      <c r="J73" s="10" t="inlineStr"/>
    </row>
    <row r="74">
      <c r="A74" s="5" t="n">
        <v>73</v>
      </c>
      <c r="B74" s="6" t="inlineStr">
        <is>
          <t>6590774</t>
        </is>
      </c>
      <c r="C74" s="7" t="inlineStr">
        <is>
          <t>Dataset TrainBatch2 for the MICCAI-2022-Challenge: Airway Tree Modeling (ATM'22)</t>
        </is>
      </c>
      <c r="D74" s="7" t="inlineStr">
        <is>
          <t>[Attention]: ATM_164_0000.nii.gz has misaligned label to CT image, please discard this case! 
 Dataset for the MICCAI-2022-Challenge: Airway Tree Modeling (ATM'22) 
 This is the TrainBatch2.  
 If you use this dataset in your research, you must cite the papers in the References below !!!</t>
        </is>
      </c>
      <c r="E74" s="5" t="inlineStr">
        <is>
          <t>.rar</t>
        </is>
      </c>
      <c r="F74" s="5" t="n">
        <v>1</v>
      </c>
      <c r="G74" s="5" t="n">
        <v>26204.9</v>
      </c>
      <c r="H74" s="5" t="inlineStr"/>
      <c r="I74" s="5" t="inlineStr"/>
      <c r="J74" s="7" t="inlineStr"/>
    </row>
    <row r="75">
      <c r="A75" s="8" t="n">
        <v>74</v>
      </c>
      <c r="B75" s="9" t="inlineStr">
        <is>
          <t>14903226</t>
        </is>
      </c>
      <c r="C75" s="10" t="inlineStr">
        <is>
          <t>AMPERE Summary Plot Movies (2012-Oct)</t>
        </is>
      </c>
      <c r="D75" s="10" t="inlineStr">
        <is>
          <t>2012-Oct AMPERE summary plot movies. See included zenodo_summary_plot_movie_description document for details.</t>
        </is>
      </c>
      <c r="E75" s="8" t="inlineStr">
        <is>
          <t>.zip</t>
        </is>
      </c>
      <c r="F75" s="8" t="n">
        <v>32</v>
      </c>
      <c r="G75" s="8" t="n">
        <v>2713.6</v>
      </c>
      <c r="H75" s="8" t="inlineStr"/>
      <c r="I75" s="8" t="inlineStr"/>
      <c r="J75" s="10" t="inlineStr"/>
    </row>
    <row r="76">
      <c r="A76" s="5" t="n">
        <v>75</v>
      </c>
      <c r="B76" s="6" t="inlineStr">
        <is>
          <t>13857013</t>
        </is>
      </c>
      <c r="C76" s="7" t="inlineStr">
        <is>
          <t>High-Capacity Mesoporous Silica Nanocarriers of siRNA for Applications in Retinal Delivery</t>
        </is>
      </c>
      <c r="D76" s="7" t="inlineStr">
        <is>
          <t>The main cause of subretinal neovascularisation in wet age-related macular degeneration (AMD) is an abnormal expression in the retinal pigment epithelium (RPE) of the vascular endothelial growth factor (VEGF). Current approaches for the treatment of AMD present considerable issues that could be over</t>
        </is>
      </c>
      <c r="E76" s="5" t="inlineStr">
        <is>
          <t>.zip</t>
        </is>
      </c>
      <c r="F76" s="5" t="n">
        <v>1</v>
      </c>
      <c r="G76" s="5" t="n">
        <v>1016.3</v>
      </c>
      <c r="H76" s="5" t="inlineStr"/>
      <c r="I76" s="5" t="inlineStr"/>
      <c r="J76" s="7" t="inlineStr"/>
    </row>
    <row r="77">
      <c r="A77" s="8" t="n">
        <v>76</v>
      </c>
      <c r="B77" s="9" t="inlineStr">
        <is>
          <t>17219542</t>
        </is>
      </c>
      <c r="C77" s="10" t="inlineStr">
        <is>
          <t>Indian Diabetic Retinopathy Image Dataset (IDRiD) — Segmentation, Grading &amp; Localization ZIP Files</t>
        </is>
      </c>
      <c r="D77" s="10" t="inlineStr">
        <is>
          <t>This record contains the original ZIP files of the Indian Diabetic Retinopathy Image Dataset (IDRiD): 
  A. Segmentation.zip  – Original images and groundtruth segmentation masks 
  B. Disease Grading.zip  – Fundus images with diabetic retinopathy and macular edema grading labels 
  C. L</t>
        </is>
      </c>
      <c r="E77" s="8" t="inlineStr">
        <is>
          <t>.zip</t>
        </is>
      </c>
      <c r="F77" s="8" t="n">
        <v>3</v>
      </c>
      <c r="G77" s="8" t="n">
        <v>962.5</v>
      </c>
      <c r="H77" s="8" t="inlineStr"/>
      <c r="I77" s="8" t="inlineStr"/>
      <c r="J77" s="10" t="inlineStr"/>
    </row>
    <row r="78">
      <c r="A78" s="5" t="n">
        <v>77</v>
      </c>
      <c r="B78" s="6" t="inlineStr">
        <is>
          <t>7604075</t>
        </is>
      </c>
      <c r="C78" s="7" t="inlineStr">
        <is>
          <t>Doodleverse/Segmentation Zoo Res-UNet models for Aerial/planecam/2-class (water, nowater) segmentation of RGB 1024x768 h</t>
        </is>
      </c>
      <c r="D78" s="7" t="inlineStr">
        <is>
          <t xml:space="preserve">Doodleverse/Segmentation Zoo Res-UNet models for Aerial/planecam/2-class (water, nowater) segmentation of RGB 1024x768 high-res. images   
 These Residual-UNet models have been created using Segmentation Gym* 
 Image size used by model: 1024 x 768 x 3 pixels 
 classes: 
	 water 
	 other 
  </t>
        </is>
      </c>
      <c r="E78" s="5" t="inlineStr">
        <is>
          <t>.h5, .npz, .png</t>
        </is>
      </c>
      <c r="F78" s="5" t="n">
        <v>27</v>
      </c>
      <c r="G78" s="5" t="n">
        <v>294.6</v>
      </c>
      <c r="H78" s="5" t="inlineStr"/>
      <c r="I78" s="5" t="inlineStr"/>
      <c r="J78" s="7" t="inlineStr"/>
    </row>
    <row r="79">
      <c r="A79" s="8" t="n">
        <v>78</v>
      </c>
      <c r="B79" s="9" t="inlineStr">
        <is>
          <t>5111972</t>
        </is>
      </c>
      <c r="C79" s="10" t="inlineStr">
        <is>
          <t>OCTA image dataset with pixel-level mask annotation for FAZ segmentation</t>
        </is>
      </c>
      <c r="D79" s="10" t="inlineStr">
        <is>
          <t xml:space="preserve">This dataset is publish by the research " A Deep Learning-based Quality Assessment and Segmentation System with a Large-scale Benchmark Dataset for Optical Coherence Tomographic Angiography Image " 
 Detail: 
 This dataset is the pixel-level mask annotation for FAZ segmentation. 1,101 3 × 3 mm 2  </t>
        </is>
      </c>
      <c r="E79" s="8" t="inlineStr"/>
      <c r="F79" s="8" t="n">
        <v>0</v>
      </c>
      <c r="G79" s="8" t="n">
        <v>0</v>
      </c>
      <c r="H79" s="8" t="inlineStr"/>
      <c r="I79" s="8" t="inlineStr"/>
      <c r="J79" s="10" t="inlineStr"/>
    </row>
    <row r="80">
      <c r="A80" s="5" t="n">
        <v>79</v>
      </c>
      <c r="B80" s="6" t="inlineStr">
        <is>
          <t>7779499</t>
        </is>
      </c>
      <c r="C80" s="7" t="inlineStr">
        <is>
          <t>rwave-4096 - Retinal Wave Dataset</t>
        </is>
      </c>
      <c r="D80" s="7" t="inlineStr">
        <is>
          <t>4096 classes of retinal waves, 2000 images per class. 
	 4096_split.tar.gz: Images split into train/test/val sets (80%/10%/10%). 
	 4096_info.zip: Retinal Wave Simulator Parameters per Class. 
 Generated using Retinal Wave Simulator https://github.com/BennyCa/Retinal-Wave-Simulator adapted fro</t>
        </is>
      </c>
      <c r="E80" s="5" t="inlineStr">
        <is>
          <t>.tar.gz, .zip</t>
        </is>
      </c>
      <c r="F80" s="5" t="n">
        <v>2</v>
      </c>
      <c r="G80" s="5" t="n">
        <v>11515.7</v>
      </c>
      <c r="H80" s="5" t="inlineStr"/>
      <c r="I80" s="5" t="inlineStr"/>
      <c r="J80" s="7" t="inlineStr"/>
    </row>
    <row r="81">
      <c r="A81" s="8" t="n">
        <v>80</v>
      </c>
      <c r="B81" s="9" t="inlineStr">
        <is>
          <t>13625812</t>
        </is>
      </c>
      <c r="C81" s="10" t="inlineStr">
        <is>
          <t>Multicenter normative data for mesopic microperimetry</t>
        </is>
      </c>
      <c r="D81" s="10" t="inlineStr">
        <is>
          <t>This record contains the analysis and underyling data presented in the manuscript Pfau et al. 'Multicenter normative data for mesopic microperimetry'.  
  Contents:  
  2024-08-30_Multicenter-Normal-Data.csv :   Newly published normal data for mesopic microperimetry 
  2024-08-30_Analysis.R : Anal</t>
        </is>
      </c>
      <c r="E81" s="8" t="inlineStr">
        <is>
          <t>.zip</t>
        </is>
      </c>
      <c r="F81" s="8" t="n">
        <v>1</v>
      </c>
      <c r="G81" s="8" t="n">
        <v>47.9</v>
      </c>
      <c r="H81" s="8" t="inlineStr"/>
      <c r="I81" s="8" t="inlineStr"/>
      <c r="J81" s="10" t="inlineStr"/>
    </row>
    <row r="82">
      <c r="A82" s="5" t="n">
        <v>81</v>
      </c>
      <c r="B82" s="6" t="inlineStr">
        <is>
          <t>14926762</t>
        </is>
      </c>
      <c r="C82" s="7" t="inlineStr">
        <is>
          <t>Dataset: FAIR AMD OCT Datasets Paper</t>
        </is>
      </c>
      <c r="D82" s="7" t="inlineStr">
        <is>
          <t>This is the dataset associated with the paper titled "Publicly Available Imaging Datasets for Age-related Macular Degeneration: Evaluation according to the Findable, Accessible, Interoperable, Reproducible (FAIR) Principles". Age-related macular degeneration (AMD), a leading cause of vision loss amo</t>
        </is>
      </c>
      <c r="E82" s="5" t="inlineStr">
        <is>
          <t>.zip</t>
        </is>
      </c>
      <c r="F82" s="5" t="n">
        <v>1</v>
      </c>
      <c r="G82" s="5" t="n">
        <v>0.5</v>
      </c>
      <c r="H82" s="5" t="inlineStr"/>
      <c r="I82" s="5" t="inlineStr"/>
      <c r="J82" s="7" t="inlineStr"/>
    </row>
    <row r="83">
      <c r="A83" s="8" t="n">
        <v>82</v>
      </c>
      <c r="B83" s="9" t="inlineStr">
        <is>
          <t>5592621</t>
        </is>
      </c>
      <c r="C83" s="10" t="inlineStr">
        <is>
          <t>OCTA image dataset with label annotation for quality assessment</t>
        </is>
      </c>
      <c r="D83" s="10" t="inlineStr">
        <is>
          <t>This dataset is publish by the research " A Deep Learning-based Quality Assessment and Segmentation System with a Large-scale Benchmark Dataset for Optical Coherence Tomographic Angiography Image " 
 Detail: 
 OCTA image dataset with label annotation for quality assessment. sOCTA-3x3-10k: 10,480 3</t>
        </is>
      </c>
      <c r="E83" s="8" t="inlineStr">
        <is>
          <t>.7z</t>
        </is>
      </c>
      <c r="F83" s="8" t="n">
        <v>2</v>
      </c>
      <c r="G83" s="8" t="n">
        <v>74.3</v>
      </c>
      <c r="H83" s="8" t="inlineStr"/>
      <c r="I83" s="8" t="inlineStr"/>
      <c r="J83" s="10" t="inlineStr"/>
    </row>
    <row r="84">
      <c r="A84" s="5" t="n">
        <v>83</v>
      </c>
      <c r="B84" s="6" t="inlineStr">
        <is>
          <t>17298706</t>
        </is>
      </c>
      <c r="C84" s="7" t="inlineStr">
        <is>
          <t>Data for 'Multidimensional Data Analysis and Classification using SMIAL'</t>
        </is>
      </c>
      <c r="D84" s="7" t="inlineStr">
        <is>
          <t>This deposit contains the raw image files used in 'Multidimensional Data Analysis and Classification using SMIAL'. This includes hyperspectral autofluorescence images of melanoma COLO679 and A375 cells, and fibroblast 142BR. Autofluorescence images of mitochondrial networks in retinal h1RPE7 cells i</t>
        </is>
      </c>
      <c r="E84" s="5" t="inlineStr">
        <is>
          <t>.zip</t>
        </is>
      </c>
      <c r="F84" s="5" t="n">
        <v>8</v>
      </c>
      <c r="G84" s="5" t="n">
        <v>10435.8</v>
      </c>
      <c r="H84" s="5" t="inlineStr"/>
      <c r="I84" s="5" t="inlineStr"/>
      <c r="J84" s="7" t="inlineStr"/>
    </row>
    <row r="85">
      <c r="A85" s="8" t="n">
        <v>84</v>
      </c>
      <c r="B85" s="9" t="inlineStr">
        <is>
          <t>8009107</t>
        </is>
      </c>
      <c r="C85" s="10" t="inlineStr">
        <is>
          <t>A Fundus Image Dataset for Domain Generalization in Joint Segmentation of Optic Disc and Optic Cup</t>
        </is>
      </c>
      <c r="D85" s="10" t="inlineStr">
        <is>
          <t>We provide a fundus image dataset for domain generalization, which includes 5 different medical centres. 
This dataset is based on the REFUGE[1] dataset, Drishti-GS[2] dataset, ORIGA[3] dataset, and RIGA[4] dataset. We appreciate their efforts devoted by the authors of [1-4]. 
	 Details of this d</t>
        </is>
      </c>
      <c r="E85" s="8" t="inlineStr">
        <is>
          <t>.zip</t>
        </is>
      </c>
      <c r="F85" s="8" t="n">
        <v>1</v>
      </c>
      <c r="G85" s="8" t="n">
        <v>587</v>
      </c>
      <c r="H85" s="8" t="inlineStr"/>
      <c r="I85" s="8" t="inlineStr"/>
      <c r="J85" s="10" t="inlineStr"/>
    </row>
    <row r="86">
      <c r="A86" s="5" t="n">
        <v>85</v>
      </c>
      <c r="B86" s="6" t="inlineStr">
        <is>
          <t>14903857</t>
        </is>
      </c>
      <c r="C86" s="7" t="inlineStr">
        <is>
          <t>AMPERE Summary Plot Movies (2014-Oct)</t>
        </is>
      </c>
      <c r="D86" s="7" t="inlineStr">
        <is>
          <t>2014-Oct AMPERE summary plot movies. See included zenodo_summary_plot_movie_description document for details.</t>
        </is>
      </c>
      <c r="E86" s="5" t="inlineStr">
        <is>
          <t>.zip</t>
        </is>
      </c>
      <c r="F86" s="5" t="n">
        <v>32</v>
      </c>
      <c r="G86" s="5" t="n">
        <v>2734</v>
      </c>
      <c r="H86" s="5" t="inlineStr"/>
      <c r="I86" s="5" t="inlineStr"/>
      <c r="J86" s="7" t="inlineStr"/>
    </row>
    <row r="87">
      <c r="A87" s="8" t="n">
        <v>86</v>
      </c>
      <c r="B87" s="9" t="inlineStr">
        <is>
          <t>7592834</t>
        </is>
      </c>
      <c r="C87" s="10" t="inlineStr">
        <is>
          <t>Circuit mechanisms underlying embryonic retinal waves</t>
        </is>
      </c>
      <c r="D87" s="10" t="inlineStr">
        <is>
          <t>Spontaneous activity is a hallmark of developing neural systems. In the retina, spontaneous activity comes in the form of retinal waves, comprised of three stages persisting from embryonic day 16 (E16) to eye opening at postnatal day 14 (P14). Though postnatal retinal waves have been well characteri</t>
        </is>
      </c>
      <c r="E87" s="8" t="inlineStr">
        <is>
          <t>.tif, .tiff</t>
        </is>
      </c>
      <c r="F87" s="8" t="n">
        <v>35</v>
      </c>
      <c r="G87" s="8" t="n">
        <v>7556.8</v>
      </c>
      <c r="H87" s="8" t="inlineStr"/>
      <c r="I87" s="8" t="inlineStr"/>
      <c r="J87" s="10" t="inlineStr"/>
    </row>
    <row r="88">
      <c r="A88" s="5" t="n">
        <v>87</v>
      </c>
      <c r="B88" s="6" t="inlineStr">
        <is>
          <t>4707752</t>
        </is>
      </c>
      <c r="C88" s="7" t="inlineStr">
        <is>
          <t>Single cell transcriptomic analyses reveal the impact of bHLH factors on human retinal organoid development</t>
        </is>
      </c>
      <c r="D88" s="7" t="inlineStr">
        <is>
          <t>The developing retina expresses multiple bHLH transcription factors. Their precise functions and interactions in uncommitted retinal progenitors remain to be fully elucidated. Here, we investigate the roles of bHLH factors ATOH7 and Neurog2 in human ES cell-derived retinal organoids.  Single-cell tr</t>
        </is>
      </c>
      <c r="E88" s="5" t="inlineStr">
        <is>
          <t>.h5</t>
        </is>
      </c>
      <c r="F88" s="5" t="n">
        <v>4</v>
      </c>
      <c r="G88" s="5" t="n">
        <v>41.9</v>
      </c>
      <c r="H88" s="5" t="inlineStr"/>
      <c r="I88" s="5" t="inlineStr"/>
      <c r="J88" s="7" t="inlineStr"/>
    </row>
    <row r="89">
      <c r="A89" s="8" t="n">
        <v>88</v>
      </c>
      <c r="B89" s="9" t="inlineStr">
        <is>
          <t>8254022</t>
        </is>
      </c>
      <c r="C89" s="10" t="inlineStr">
        <is>
          <t>Dataset for PT-OCT ANN Project</t>
        </is>
      </c>
      <c r="D89" s="10" t="inlineStr">
        <is>
          <t>This dataset contains files for training and validation of the ANN in PT-OCT</t>
        </is>
      </c>
      <c r="E89" s="8" t="inlineStr">
        <is>
          <t>.zip</t>
        </is>
      </c>
      <c r="F89" s="8" t="n">
        <v>1</v>
      </c>
      <c r="G89" s="8" t="n">
        <v>302.1</v>
      </c>
      <c r="H89" s="8" t="inlineStr"/>
      <c r="I89" s="8" t="inlineStr"/>
      <c r="J89" s="10" t="inlineStr"/>
    </row>
    <row r="90">
      <c r="A90" s="5" t="n">
        <v>89</v>
      </c>
      <c r="B90" s="6" t="inlineStr">
        <is>
          <t>7811860</t>
        </is>
      </c>
      <c r="C90" s="7" t="inlineStr">
        <is>
          <t>rwave-1024 - Retinal Wave Dataset</t>
        </is>
      </c>
      <c r="D90" s="7" t="inlineStr">
        <is>
          <t>1024 classes of retinal waves, 1000 images per class. 
	 info.txt: Information regarding file structure and parameters. 
	 rwave-1024.tar.gz: images in class folders 
 Generated using Retinal Wave Simulator https://github.com/BennyCa/Retinal-Wave-Simulator adapted from https://swindale.ecc.ubc</t>
        </is>
      </c>
      <c r="E90" s="5" t="inlineStr">
        <is>
          <t>.tar.gz</t>
        </is>
      </c>
      <c r="F90" s="5" t="n">
        <v>2</v>
      </c>
      <c r="G90" s="5" t="n">
        <v>2099.8</v>
      </c>
      <c r="H90" s="5" t="inlineStr"/>
      <c r="I90" s="5" t="inlineStr"/>
      <c r="J90" s="7" t="inlineStr"/>
    </row>
    <row r="91">
      <c r="A91" s="8" t="n">
        <v>90</v>
      </c>
      <c r="B91" s="9" t="inlineStr">
        <is>
          <t>8212083</t>
        </is>
      </c>
      <c r="C91" s="10" t="inlineStr">
        <is>
          <t>Visual opsin gene expression evolution in the adaptive radiation of cichlid fishes of Lake Tanganyika</t>
        </is>
      </c>
      <c r="D91" s="10" t="inlineStr">
        <is>
          <t>Tuning the visual sensory system to the ambient light is essential for survival in many animal species. This is often achieved through duplication, functional diversification, and/or differential expression of visual opsin genes. Here, we examined 753 new retinal transcriptomes from 112 species of c</t>
        </is>
      </c>
      <c r="E91" s="8" t="inlineStr"/>
      <c r="F91" s="8" t="n">
        <v>27</v>
      </c>
      <c r="G91" s="8" t="n">
        <v>105.9</v>
      </c>
      <c r="H91" s="8" t="inlineStr"/>
      <c r="I91" s="8" t="inlineStr"/>
      <c r="J91" s="10" t="inlineStr"/>
    </row>
    <row r="92">
      <c r="A92" s="5" t="n">
        <v>91</v>
      </c>
      <c r="B92" s="6" t="inlineStr">
        <is>
          <t>15288631</t>
        </is>
      </c>
      <c r="C92" s="7" t="inlineStr">
        <is>
          <t>exported-nlsm-octrees</t>
        </is>
      </c>
      <c r="D92" s="7" t="inlineStr">
        <is>
          <t>Contains exported octrees (.oct) and visualization files (.pvtu) for both NLSM-A and NLSM-B cases, generated by Dendro-GR. 
 Relates to Figures 10, 11, 12 &amp; 13 in AMRaCut paper.</t>
        </is>
      </c>
      <c r="E92" s="5" t="inlineStr">
        <is>
          <t>.tar.gz</t>
        </is>
      </c>
      <c r="F92" s="5" t="n">
        <v>1</v>
      </c>
      <c r="G92" s="5" t="n">
        <v>264</v>
      </c>
      <c r="H92" s="5" t="inlineStr"/>
      <c r="I92" s="5" t="inlineStr"/>
      <c r="J92" s="7" t="inlineStr"/>
    </row>
    <row r="93">
      <c r="A93" s="8" t="n">
        <v>92</v>
      </c>
      <c r="B93" s="9" t="inlineStr">
        <is>
          <t>4962379</t>
        </is>
      </c>
      <c r="C93" s="10" t="inlineStr">
        <is>
          <t>Data from: Rat retinal vasomotion assessed by laser speckle imaging</t>
        </is>
      </c>
      <c r="D93" s="10" t="inlineStr">
        <is>
          <t>Vasomotion is spontaneous or induced rhythmic changes in vascular tone or vessel diameter that lead to rhythmic changes in flow. While the vascular research community debates the physiological and pathophysiological consequence of vasomotion, there is a great need for experimental techniques that ca</t>
        </is>
      </c>
      <c r="E93" s="8" t="inlineStr">
        <is>
          <t>.mat</t>
        </is>
      </c>
      <c r="F93" s="8" t="n">
        <v>1</v>
      </c>
      <c r="G93" s="8" t="n">
        <v>1059.7</v>
      </c>
      <c r="H93" s="8" t="inlineStr"/>
      <c r="I93" s="8" t="inlineStr"/>
      <c r="J93" s="10" t="inlineStr"/>
    </row>
    <row r="94">
      <c r="A94" s="5" t="n">
        <v>93</v>
      </c>
      <c r="B94" s="6" t="inlineStr">
        <is>
          <t>5002837</t>
        </is>
      </c>
      <c r="C94" s="7" t="inlineStr">
        <is>
          <t>Data from: Insights in the diagnosis of a retinal arteriovenous malformation</t>
        </is>
      </c>
      <c r="D94" s="7" t="inlineStr">
        <is>
          <t>Objective:  To describe a patient with vitreous hemorrhage due to peripheral retinal ischemia and neovascularization, who was diagnosed with an underlying retinal arteriovenous malformation. 
  Methods:  A 15-year old girl presented with sudden-onset painless visual loss in the right eye. She under</t>
        </is>
      </c>
      <c r="E94" s="5" t="inlineStr">
        <is>
          <t>.png, .tif</t>
        </is>
      </c>
      <c r="F94" s="5" t="n">
        <v>79</v>
      </c>
      <c r="G94" s="5" t="n">
        <v>521.8</v>
      </c>
      <c r="H94" s="5" t="inlineStr"/>
      <c r="I94" s="5" t="inlineStr"/>
      <c r="J94" s="7" t="inlineStr"/>
    </row>
    <row r="95">
      <c r="A95" s="8" t="n">
        <v>94</v>
      </c>
      <c r="B95" s="9" t="inlineStr">
        <is>
          <t>7358284</t>
        </is>
      </c>
      <c r="C95" s="10" t="inlineStr">
        <is>
          <t>Doodleverse/Segmentation Zoo Res-UNet models for 4-class (water, whitewater, sediment and other) segmentation of Sentine</t>
        </is>
      </c>
      <c r="D95" s="10" t="inlineStr">
        <is>
          <t>Doodleverse/Segmentation Zoo Res-UNet models for 4-class (water, whitewater, sediment and other) segmentation of Sentinel-2 and Landsat-7/8 7-band (RGB+NIR+SWIR+NDWI+MNDWI) images of coasts. 
 Models have been created using Segmentation Gym* using the following dataset**: https://doi.org/10.5281/ze</t>
        </is>
      </c>
      <c r="E95" s="8" t="inlineStr">
        <is>
          <t>.h5, .npz, .png</t>
        </is>
      </c>
      <c r="F95" s="8" t="n">
        <v>22</v>
      </c>
      <c r="G95" s="8" t="n">
        <v>265.6</v>
      </c>
      <c r="H95" s="8" t="inlineStr"/>
      <c r="I95" s="8" t="inlineStr"/>
      <c r="J95" s="10" t="inlineStr"/>
    </row>
    <row r="96">
      <c r="A96" s="5" t="n">
        <v>95</v>
      </c>
      <c r="B96" s="6" t="inlineStr">
        <is>
          <t>4992944</t>
        </is>
      </c>
      <c r="C96" s="7" t="inlineStr">
        <is>
          <t xml:space="preserve">Data from: Human retinal pigment epithelium: in vivo cell morphometry, multispectral autofluorescence, and relationship </t>
        </is>
      </c>
      <c r="D96" s="7" t="inlineStr">
        <is>
          <t>Purpose: To characterize in vivo morphometry and multispectral autofluorescence of the retinal pigment epithelial (RPE) cell mosaic and its relationship to cone cell topography across the macula.
Methods: RPE cell morphometrics were computed in regularly spaced regions of interest (ROIs) from conti</t>
        </is>
      </c>
      <c r="E96" s="5" t="inlineStr">
        <is>
          <t>.zip</t>
        </is>
      </c>
      <c r="F96" s="5" t="n">
        <v>20</v>
      </c>
      <c r="G96" s="5" t="n">
        <v>80.5</v>
      </c>
      <c r="H96" s="5" t="inlineStr"/>
      <c r="I96" s="5" t="inlineStr"/>
      <c r="J96" s="7" t="inlineStr"/>
    </row>
    <row r="97">
      <c r="A97" s="8" t="n">
        <v>96</v>
      </c>
      <c r="B97" s="9" t="inlineStr">
        <is>
          <t>12703870</t>
        </is>
      </c>
      <c r="C97" s="10" t="inlineStr">
        <is>
          <t>Datasets relating to characterisation of Jumping Spider Rhodopsin-1 after reconstitution with retinal and retinal analog</t>
        </is>
      </c>
      <c r="D97" s="10" t="inlineStr">
        <is>
          <t>001 - UV-Vis spectra JSR1 reconstituted with all-trans retinal, 9-cis retinal, ATR6.11 and 9CR6.11 
 002 - UV-Vis spectra of JSR1 reconstituted with ATR6.11 and 9CR6.11, before and after acid denaturation 
 003 - UV-Vis spectra of JSR1 reconstituted with ATR6.11, after addition of hydroxylamine 
 00</t>
        </is>
      </c>
      <c r="E97" s="8" t="inlineStr">
        <is>
          <t>.jpg</t>
        </is>
      </c>
      <c r="F97" s="8" t="n">
        <v>39</v>
      </c>
      <c r="G97" s="8" t="n">
        <v>1.1</v>
      </c>
      <c r="H97" s="8" t="inlineStr"/>
      <c r="I97" s="8" t="inlineStr"/>
      <c r="J97" s="10" t="inlineStr"/>
    </row>
    <row r="98">
      <c r="A98" s="5" t="n">
        <v>97</v>
      </c>
      <c r="B98" s="6" t="inlineStr">
        <is>
          <t>5030552</t>
        </is>
      </c>
      <c r="C98" s="7" t="inlineStr">
        <is>
          <t>Orbit Image Analysis: An open-source whole slide image analysis tool</t>
        </is>
      </c>
      <c r="D98" s="7" t="inlineStr">
        <is>
          <t>This is a whole slide image (WSI) dataset for glomeruli segmentation on kidney tissue, in total 88 images. 
 The train-set (58 images) and test-set (32 images) has been used in the publication "Orbit Image Analysis: An open-source whole slide image analysis tool" to train and test the 
glomeruli se</t>
        </is>
      </c>
      <c r="E98" s="5" t="inlineStr">
        <is>
          <t>.zip</t>
        </is>
      </c>
      <c r="F98" s="5" t="n">
        <v>1</v>
      </c>
      <c r="G98" s="5" t="n">
        <v>40634.2</v>
      </c>
      <c r="H98" s="5" t="inlineStr"/>
      <c r="I98" s="5" t="inlineStr"/>
      <c r="J98" s="7" t="inlineStr"/>
    </row>
    <row r="99">
      <c r="A99" s="8" t="n">
        <v>98</v>
      </c>
      <c r="B99" s="9" t="inlineStr">
        <is>
          <t>5025464</t>
        </is>
      </c>
      <c r="C99" s="10" t="inlineStr">
        <is>
          <t>Data from: Inhibition behavior of mild steel by three new benzaldehyde thiosemicarbazone derivatives in 0.5 M H2SO4: Exp</t>
        </is>
      </c>
      <c r="D99" s="10" t="inlineStr">
        <is>
          <t>Three new benzaldehyde thiosemicarbazone derivatives namely benzaldehyde thiosemicarbazone (BST), 4-carboxyl benzaldehyde thiosemicarbazone (PBST) and 2-carboxyl benzaldehyde thiosemicarbazone (OCT) were synthesized and their inhibition effects on mild steel corrosion in 0.5 M H2SO4 solution were st</t>
        </is>
      </c>
      <c r="E99" s="8" t="inlineStr">
        <is>
          <t>.rar</t>
        </is>
      </c>
      <c r="F99" s="8" t="n">
        <v>1</v>
      </c>
      <c r="G99" s="8" t="n">
        <v>0.1</v>
      </c>
      <c r="H99" s="8" t="inlineStr"/>
      <c r="I99" s="8" t="inlineStr"/>
      <c r="J99" s="10" t="inlineStr"/>
    </row>
    <row r="100">
      <c r="A100" s="5" t="n">
        <v>99</v>
      </c>
      <c r="B100" s="6" t="inlineStr">
        <is>
          <t>14305302</t>
        </is>
      </c>
      <c r="C100" s="7" t="inlineStr">
        <is>
          <t>Dataset for Fetal Ultrasound Grand Challenge: Semi-Supervised Cervical Segmentation (ISBI 2025)</t>
        </is>
      </c>
      <c r="D100" s="7" t="inlineStr">
        <is>
          <t>Transvaginal ultrasound is the preferred method for visualizing the cervix in most patients, offering detailed insight into cervical anatomy and structure. Accurate segmentation of ultrasound (US) images of the cervical muscles is essential for analyzing deep muscle structures, assessing their funct</t>
        </is>
      </c>
      <c r="E100" s="5" t="inlineStr">
        <is>
          <t>.png</t>
        </is>
      </c>
      <c r="F100" s="5" t="n">
        <v>2</v>
      </c>
      <c r="G100" s="5" t="n">
        <v>3.3</v>
      </c>
      <c r="H100" s="5" t="inlineStr"/>
      <c r="I100" s="5" t="inlineStr"/>
      <c r="J100" s="7" t="inlineStr"/>
    </row>
    <row r="101">
      <c r="A101" s="8" t="n">
        <v>100</v>
      </c>
      <c r="B101" s="9" t="inlineStr">
        <is>
          <t>5336592</t>
        </is>
      </c>
      <c r="C101" s="10" t="inlineStr">
        <is>
          <t>RibSeg Dataset and Strong Point Cloud Baselines for Rib Segmentation from CT Scans</t>
        </is>
      </c>
      <c r="D101" s="10" t="inlineStr">
        <is>
          <t>Manual rib inspections in computed tomography (CT) scans are clinically critical but labor-intensive, as 24 ribs are typically elongated and oblique in 3D volumes. Automatic rib segmentation methods can speed up the process through rib measurement and visualization. However, prior arts mostly use in</t>
        </is>
      </c>
      <c r="E101" s="8" t="inlineStr">
        <is>
          <t>.zip</t>
        </is>
      </c>
      <c r="F101" s="8" t="n">
        <v>1</v>
      </c>
      <c r="G101" s="8" t="n">
        <v>117.4</v>
      </c>
      <c r="H101" s="8" t="inlineStr"/>
      <c r="I101" s="8" t="inlineStr"/>
      <c r="J101" s="10" t="inlineStr"/>
    </row>
    <row r="102">
      <c r="A102" s="5" t="n">
        <v>101</v>
      </c>
      <c r="B102" s="6" t="inlineStr">
        <is>
          <t>14906752</t>
        </is>
      </c>
      <c r="C102" s="7" t="inlineStr">
        <is>
          <t>AMPERE Summary Plot Movies (2019-Oct)</t>
        </is>
      </c>
      <c r="D102" s="7" t="inlineStr">
        <is>
          <t>2019-Oct AMPERE summary plot movies. See included zenodo_summary_plot_movie_description document for details.</t>
        </is>
      </c>
      <c r="E102" s="5" t="inlineStr">
        <is>
          <t>.zip</t>
        </is>
      </c>
      <c r="F102" s="5" t="n">
        <v>32</v>
      </c>
      <c r="G102" s="5" t="n">
        <v>2693.1</v>
      </c>
      <c r="H102" s="5" t="inlineStr"/>
      <c r="I102" s="5" t="inlineStr"/>
      <c r="J102" s="7" t="inlineStr"/>
    </row>
    <row r="103">
      <c r="A103" s="8" t="n">
        <v>102</v>
      </c>
      <c r="B103" s="9" t="inlineStr">
        <is>
          <t>8162076</t>
        </is>
      </c>
      <c r="C103" s="10" t="inlineStr">
        <is>
          <t>Data from: Functional modules for visual scene segmentation in macaque visual cortex</t>
        </is>
      </c>
      <c r="D103" s="10" t="inlineStr">
        <is>
          <t>Segmentation, the computation of object boundaries, is one of the most important steps in intermediate visual processing. Previous studies have reported cells across visual cortex that are modulated by segmentation features, but the functional role of these cells remains unclear. First, it is unclea</t>
        </is>
      </c>
      <c r="E103" s="8" t="inlineStr">
        <is>
          <t>.mat</t>
        </is>
      </c>
      <c r="F103" s="8" t="n">
        <v>2</v>
      </c>
      <c r="G103" s="8" t="n">
        <v>99.2</v>
      </c>
      <c r="H103" s="8" t="inlineStr"/>
      <c r="I103" s="8" t="inlineStr"/>
      <c r="J103" s="10" t="inlineStr"/>
    </row>
    <row r="104">
      <c r="A104" s="5" t="n">
        <v>103</v>
      </c>
      <c r="B104" s="6" t="inlineStr">
        <is>
          <t>7652264</t>
        </is>
      </c>
      <c r="C104" s="7" t="inlineStr">
        <is>
          <t>SuperDARN Grid data in netCDF format (2002-Oct)</t>
        </is>
      </c>
      <c r="D104" s="7" t="inlineStr">
        <is>
          <t>2002-Oct SuperDARN radar data in netCDF format. These files were produced using versions 3.0 of the public FitACF and make_grid algorithms, using the AACGM v2 coordinate system. Cite this dataset if using our data in a publication.  The RST is available here: https://github.com/SuperDARN/rst  The re</t>
        </is>
      </c>
      <c r="E104" s="5" t="inlineStr"/>
      <c r="F104" s="5" t="n">
        <v>384</v>
      </c>
      <c r="G104" s="5" t="n">
        <v>469.8</v>
      </c>
      <c r="H104" s="5" t="inlineStr"/>
      <c r="I104" s="5" t="inlineStr"/>
      <c r="J104" s="7" t="inlineStr"/>
    </row>
    <row r="105">
      <c r="A105" s="8" t="n">
        <v>104</v>
      </c>
      <c r="B105" s="9" t="inlineStr">
        <is>
          <t>10078774</t>
        </is>
      </c>
      <c r="C105" s="10" t="inlineStr">
        <is>
          <t>Topic Model October 2023 (200 texts, 40 topics)</t>
        </is>
      </c>
      <c r="D105" s="10" t="inlineStr">
        <is>
          <t>Topic Model of the MiMoText roman18 corpus (Oct 2023)</t>
        </is>
      </c>
      <c r="E105" s="8" t="inlineStr">
        <is>
          <t>.zip</t>
        </is>
      </c>
      <c r="F105" s="8" t="n">
        <v>1</v>
      </c>
      <c r="G105" s="8" t="n">
        <v>147.1</v>
      </c>
      <c r="H105" s="8" t="inlineStr"/>
      <c r="I105" s="8" t="inlineStr"/>
      <c r="J105" s="10" t="inlineStr"/>
    </row>
    <row r="106">
      <c r="A106" s="5" t="n">
        <v>105</v>
      </c>
      <c r="B106" s="6" t="inlineStr">
        <is>
          <t>17167948</t>
        </is>
      </c>
      <c r="C106" s="7" t="inlineStr">
        <is>
          <t>Prototypes and Datasets for Retinal Regeneration: PSI and CELL-MPC Proof-of-Concept</t>
        </is>
      </c>
      <c r="D106" s="7" t="inlineStr">
        <is>
          <t>Este repositório contém os materiais suplementares do artigo  “Integração de Modelagem Computacional, Biologia de Sistemas e Inteligência Artificial para Melhorar a Eficiência de Diferenciação das Células-Tronco Pluripotentes Induzidas em Células Retinianas” . Inclui: (i) o script Python  psi_simula</t>
        </is>
      </c>
      <c r="E106" s="5" t="inlineStr">
        <is>
          <t>.png</t>
        </is>
      </c>
      <c r="F106" s="5" t="n">
        <v>12</v>
      </c>
      <c r="G106" s="5" t="n">
        <v>5.5</v>
      </c>
      <c r="H106" s="5" t="inlineStr"/>
      <c r="I106" s="5" t="inlineStr"/>
      <c r="J106" s="7" t="inlineStr"/>
    </row>
    <row r="107">
      <c r="A107" s="8" t="n">
        <v>106</v>
      </c>
      <c r="B107" s="9" t="inlineStr">
        <is>
          <t>15389616</t>
        </is>
      </c>
      <c r="C107" s="10" t="inlineStr">
        <is>
          <t>Test data for Voronoi segmentation tutorial: Segmentation</t>
        </is>
      </c>
      <c r="D107" s="10" t="inlineStr">
        <is>
          <t>Test material for the GTN tutorial titled 'Voronoi segmentation': https://zenodo.org/records/15172302</t>
        </is>
      </c>
      <c r="E107" s="8" t="inlineStr">
        <is>
          <t>.tiff</t>
        </is>
      </c>
      <c r="F107" s="8" t="n">
        <v>1</v>
      </c>
      <c r="G107" s="8" t="n">
        <v>10.5</v>
      </c>
      <c r="H107" s="8" t="inlineStr"/>
      <c r="I107" s="8" t="inlineStr"/>
      <c r="J107" s="10" t="inlineStr"/>
    </row>
    <row r="108">
      <c r="A108" s="5" t="n">
        <v>107</v>
      </c>
      <c r="B108" s="6" t="inlineStr">
        <is>
          <t>7576898</t>
        </is>
      </c>
      <c r="C108" s="7" t="inlineStr">
        <is>
          <t>Doodleverse/Segmentation Zoo/Seg2Map Res-UNet models for DeepGlobe/7-class segmentation of RGB 512x512 high-res. images</t>
        </is>
      </c>
      <c r="D108" s="7" t="inlineStr">
        <is>
          <t>Doodleverse/Segmentation Zoo/Seg2Map Res-UNet models for DeepGlobe/7-class segmentation of RGB 512x512 high-res. images   
 These Residual-UNet model data are based on the [DeepGlobe dataset](https://www.kaggle.com/datasets/balraj98/deepglobe-land-cover-classification-dataset) 
 Models have been c</t>
        </is>
      </c>
      <c r="E108" s="5" t="inlineStr">
        <is>
          <t>.h5, .npz, .png</t>
        </is>
      </c>
      <c r="F108" s="5" t="n">
        <v>33</v>
      </c>
      <c r="G108" s="5" t="n">
        <v>398.6</v>
      </c>
      <c r="H108" s="5" t="inlineStr"/>
      <c r="I108" s="5" t="inlineStr"/>
      <c r="J108" s="7" t="inlineStr"/>
    </row>
    <row r="109">
      <c r="A109" s="8" t="n">
        <v>108</v>
      </c>
      <c r="B109" s="9" t="inlineStr">
        <is>
          <t>292994</t>
        </is>
      </c>
      <c r="C109" s="10" t="inlineStr">
        <is>
          <t>Concept detection scores for the IACC.3 dataset (TRECVID AVS Task)</t>
        </is>
      </c>
      <c r="D109" s="10" t="inlineStr">
        <is>
          <t>We provide concept detection scores for the IACC.3 dataset (600 hr internet archive videos), which is used in the TRECVID Ad-hoc Video Search (AVS) task [1]. Concept detection scores for 1345 concepts (1000 ImageNet concepts provided for the ILSVRC challenge [2] and 345 TRECVID SIN concepts [3]) hav</t>
        </is>
      </c>
      <c r="E109" s="8" t="inlineStr">
        <is>
          <t>.rar</t>
        </is>
      </c>
      <c r="F109" s="8" t="n">
        <v>1</v>
      </c>
      <c r="G109" s="8" t="n">
        <v>1622.6</v>
      </c>
      <c r="H109" s="8" t="inlineStr"/>
      <c r="I109" s="8" t="inlineStr"/>
      <c r="J109" s="10" t="inlineStr"/>
    </row>
    <row r="110">
      <c r="A110" s="5" t="n">
        <v>109</v>
      </c>
      <c r="B110" s="6" t="inlineStr">
        <is>
          <t>14754838</t>
        </is>
      </c>
      <c r="C110" s="7" t="inlineStr">
        <is>
          <t>Metabolomics of mouse retina and optic nerve (treated with/without PQQ) (Canovai, 2023)</t>
        </is>
      </c>
      <c r="D110" s="7" t="inlineStr">
        <is>
          <t>Raw metabolomics datasets from: 
 Canovai A, Tribble JR, Jöe M, Westerlund DY, Amato R, Trounce IA, Dal Monte M, Williams PA. Pyrroloquinoline quinone drives ATP synthesis in vitro and in vivo and provides retinal ganglion cell neuroprotection. Acta Neuropathol Commun. 2023 Sep 8;11(1):146. doi: 10.</t>
        </is>
      </c>
      <c r="E110" s="5" t="inlineStr">
        <is>
          <t>.zip</t>
        </is>
      </c>
      <c r="F110" s="5" t="n">
        <v>2</v>
      </c>
      <c r="G110" s="5" t="n">
        <v>20464.8</v>
      </c>
      <c r="H110" s="5" t="inlineStr"/>
      <c r="I110" s="5" t="inlineStr"/>
      <c r="J110" s="7" t="inlineStr"/>
    </row>
    <row r="111">
      <c r="A111" s="8" t="n">
        <v>110</v>
      </c>
      <c r="B111" s="9" t="inlineStr">
        <is>
          <t>18250216</t>
        </is>
      </c>
      <c r="C111" s="10" t="inlineStr">
        <is>
          <t>SuperDARN data in netCDF format (1993-Oct)</t>
        </is>
      </c>
      <c r="D111" s="10" t="inlineStr">
        <is>
          <t>1993-Oct SuperDARN radar data in netCDF format. These files were produced using version 3.0 of the public FitACF algorithm, using the AACGM v2 coordinate system. Cite this dataset if using our data in a publication. 
 The RST is available here: https://github.com/SuperDARN/rst 
The research enab</t>
        </is>
      </c>
      <c r="E111" s="8" t="inlineStr"/>
      <c r="F111" s="8" t="n">
        <v>83</v>
      </c>
      <c r="G111" s="8" t="n">
        <v>365.9</v>
      </c>
      <c r="H111" s="8" t="inlineStr"/>
      <c r="I111" s="8" t="inlineStr"/>
      <c r="J111" s="10" t="inlineStr"/>
    </row>
    <row r="112">
      <c r="A112" s="5" t="n">
        <v>111</v>
      </c>
      <c r="B112" s="6" t="inlineStr">
        <is>
          <t>14293638</t>
        </is>
      </c>
      <c r="C112" s="7" t="inlineStr">
        <is>
          <t>Multi modal optical coherence tomography flowmetry of organ on chip devices</t>
        </is>
      </c>
      <c r="D112" s="7" t="inlineStr">
        <is>
          <t>This repository contains raw data and analysis routines of the publication  “Multi modal optical coherence tomography flowmetry of organ on chip devices”  in Scientific Reports (doi.org/10.1038/s41598-025-10089-9) .  The reader is free to use the scripts and data in this depository if the manuscript</t>
        </is>
      </c>
      <c r="E112" s="5" t="inlineStr">
        <is>
          <t>.npy, .oct, .png</t>
        </is>
      </c>
      <c r="F112" s="5" t="n">
        <v>10</v>
      </c>
      <c r="G112" s="5" t="n">
        <v>6255.6</v>
      </c>
      <c r="H112" s="5" t="inlineStr"/>
      <c r="I112" s="5" t="inlineStr"/>
      <c r="J112" s="7" t="inlineStr"/>
    </row>
    <row r="113">
      <c r="A113" s="8" t="n">
        <v>112</v>
      </c>
      <c r="B113" s="9" t="inlineStr">
        <is>
          <t>5009403</t>
        </is>
      </c>
      <c r="C113" s="10" t="inlineStr">
        <is>
          <t>Data from: Using matrix and tensor factorizations for the single-trial analysis of population spike trains</t>
        </is>
      </c>
      <c r="D113" s="10" t="inlineStr">
        <is>
          <t>Advances in neuronal recording techniques are leading to ever larger numbers of simultaneously monitored neurons. This poses the important analytical challenge of how to capture compactly all sensory information that neural population codes carry in their spatial dimension (differences in stimulus t</t>
        </is>
      </c>
      <c r="E113" s="8" t="inlineStr">
        <is>
          <t>.zip</t>
        </is>
      </c>
      <c r="F113" s="8" t="n">
        <v>2</v>
      </c>
      <c r="G113" s="8" t="n">
        <v>260.4</v>
      </c>
      <c r="H113" s="8" t="inlineStr"/>
      <c r="I113" s="8" t="inlineStr"/>
      <c r="J113" s="10" t="inlineStr"/>
    </row>
    <row r="114">
      <c r="A114" s="5" t="n">
        <v>113</v>
      </c>
      <c r="B114" s="6" t="inlineStr">
        <is>
          <t>7448405</t>
        </is>
      </c>
      <c r="C114" s="7" t="inlineStr">
        <is>
          <t>Doodleverse/Segmentation Zoo Res-UNet models for 2-class (water, other) segmentation of Sentinel-2 and Landsat-7/8 3-ban</t>
        </is>
      </c>
      <c r="D114" s="7" t="inlineStr">
        <is>
          <t>Doodleverse/Segmentation Zoo Res-UNet models for 2-class (water, other) segmentation of Sentinel-2 and Landsat-7/8 3-band (RGB) images of coasts.   
 These Residual-UNet model data are based on RGB (red, green, and blue) images of coasts and associated labels. 
 Models have been created using Segm</t>
        </is>
      </c>
      <c r="E114" s="5" t="inlineStr">
        <is>
          <t>.h5, .npz, .png</t>
        </is>
      </c>
      <c r="F114" s="5" t="n">
        <v>27</v>
      </c>
      <c r="G114" s="5" t="n">
        <v>332.2</v>
      </c>
      <c r="H114" s="5" t="inlineStr"/>
      <c r="I114" s="5" t="inlineStr"/>
      <c r="J114" s="7" t="inlineStr"/>
    </row>
    <row r="115">
      <c r="A115" s="8" t="n">
        <v>114</v>
      </c>
      <c r="B115" s="9" t="inlineStr">
        <is>
          <t>14478210</t>
        </is>
      </c>
      <c r="C115" s="10" t="inlineStr">
        <is>
          <t>OCT Dataset for Segmentation of Atherosclerotic Plaque Morphological Features</t>
        </is>
      </c>
      <c r="D115" s="10" t="inlineStr">
        <is>
          <t>Objectives:  The primary goal of this dataset is to enable the automated segmentation and quantification of atherosclerotic plaque features in OCT images. Cardiovascular disease, with atherosclerosis at its core, remains a global health challenge. Accurate identification of vulnerable plaques is cru</t>
        </is>
      </c>
      <c r="E115" s="8" t="inlineStr">
        <is>
          <t>.png, .zip</t>
        </is>
      </c>
      <c r="F115" s="8" t="n">
        <v>8</v>
      </c>
      <c r="G115" s="8" t="n">
        <v>78276</v>
      </c>
      <c r="H115" s="8" t="inlineStr"/>
      <c r="I115" s="8" t="inlineStr"/>
      <c r="J115" s="10" t="inlineStr"/>
    </row>
    <row r="116">
      <c r="A116" s="5" t="n">
        <v>115</v>
      </c>
      <c r="B116" s="6" t="inlineStr">
        <is>
          <t>11428245</t>
        </is>
      </c>
      <c r="C116" s="7" t="inlineStr">
        <is>
          <t>Revealing real-time 3D in vivo pathogen dynamics in plants by label-free optical coherence tomography</t>
        </is>
      </c>
      <c r="D116" s="7" t="inlineStr">
        <is>
          <t>This repository contains all data and code underlying the publication: J. de Wit et al. " Revealing real-time 3D in vivo pathogen dynamics in plants by label-free optical coherence tomography " in Nature Communications (2024) (https://doi.org/10.1038/s41467-024-52594-x) 
  --------------Code descrip</t>
        </is>
      </c>
      <c r="E116" s="5" t="inlineStr">
        <is>
          <t>.zip</t>
        </is>
      </c>
      <c r="F116" s="5" t="n">
        <v>6</v>
      </c>
      <c r="G116" s="5" t="n">
        <v>4308.1</v>
      </c>
      <c r="H116" s="5" t="inlineStr"/>
      <c r="I116" s="5" t="inlineStr"/>
      <c r="J116" s="7" t="inlineStr"/>
    </row>
    <row r="117">
      <c r="A117" s="8" t="n">
        <v>116</v>
      </c>
      <c r="B117" s="9" t="inlineStr">
        <is>
          <t>7570583</t>
        </is>
      </c>
      <c r="C117" s="10" t="inlineStr">
        <is>
          <t>Doodleverse/Segmentation Zoo/Seg2Map Res-UNet models for CoastTrain/8-class segmentation of RGB 768x768 NAIP images</t>
        </is>
      </c>
      <c r="D117" s="10" t="inlineStr">
        <is>
          <t xml:space="preserve">Doodleverse/Segmentation Zoo/Seg2Map Res-UNet models for CoastTrain 8-class segmentation of RGB 768x768 NAIP images   
 These Residual-UNet model data are based on Coast Train images and associated labels. https://coasttrain.github.io/CoastTrain/docs/Version%201:%20March%202022/data 
 Models have </t>
        </is>
      </c>
      <c r="E117" s="8" t="inlineStr">
        <is>
          <t>.h5, .npz, .png</t>
        </is>
      </c>
      <c r="F117" s="8" t="n">
        <v>33</v>
      </c>
      <c r="G117" s="8" t="n">
        <v>398.5</v>
      </c>
      <c r="H117" s="8" t="inlineStr"/>
      <c r="I117" s="8" t="inlineStr"/>
      <c r="J117" s="10" t="inlineStr"/>
    </row>
    <row r="118">
      <c r="A118" s="5" t="n">
        <v>117</v>
      </c>
      <c r="B118" s="6" t="inlineStr">
        <is>
          <t>8063221</t>
        </is>
      </c>
      <c r="C118" s="7" t="inlineStr">
        <is>
          <t>Seg-CQ500</t>
        </is>
      </c>
      <c r="D118" s="7" t="inlineStr">
        <is>
          <t>Intracranial hemorrhages segmentation labels for 51 CT-scans from the CQ500 dataset (http://headctstudy.qure.ai/dataset). 
 Two trained radiologists from the Karolinska Instituted in Stockholm, labeled 51 scans to provide 3D mask of intracranial hemorrhages. 
 We hope our new labels will promote t</t>
        </is>
      </c>
      <c r="E118" s="5" t="inlineStr">
        <is>
          <t>.zip</t>
        </is>
      </c>
      <c r="F118" s="5" t="n">
        <v>1</v>
      </c>
      <c r="G118" s="5" t="n">
        <v>2345.8</v>
      </c>
      <c r="H118" s="5" t="inlineStr"/>
      <c r="I118" s="5" t="inlineStr"/>
      <c r="J118" s="7" t="inlineStr"/>
    </row>
    <row r="119">
      <c r="A119" s="8" t="n">
        <v>118</v>
      </c>
      <c r="B119" s="9" t="inlineStr">
        <is>
          <t>17708044</t>
        </is>
      </c>
      <c r="C119" s="10" t="inlineStr">
        <is>
          <t>Sonogenetic Vision Restoration Dataset (EMC and MscL-G22S)</t>
        </is>
      </c>
      <c r="D119" s="10" t="inlineStr">
        <is>
          <t>This dataset contains raw electrophysiology recordings, MEA firing-rate matrices, ultrasound calibration files, confocal images, and analysis scripts used in the study "Sonogenetic Activation of Retinal Neurons for Vision Restoration". The data support all main findings and figures in the manuscript</t>
        </is>
      </c>
      <c r="E119" s="8" t="inlineStr">
        <is>
          <t>.rar, .zip</t>
        </is>
      </c>
      <c r="F119" s="8" t="n">
        <v>4</v>
      </c>
      <c r="G119" s="8" t="n">
        <v>124.9</v>
      </c>
      <c r="H119" s="8" t="inlineStr"/>
      <c r="I119" s="8" t="inlineStr"/>
      <c r="J119" s="10" t="inlineStr"/>
    </row>
    <row r="120">
      <c r="A120" s="5" t="n">
        <v>119</v>
      </c>
      <c r="B120" s="6" t="inlineStr">
        <is>
          <t>7647714</t>
        </is>
      </c>
      <c r="C120" s="7" t="inlineStr">
        <is>
          <t>SuperDARN Grid data in netCDF format (2015-Oct)</t>
        </is>
      </c>
      <c r="D120" s="7" t="inlineStr">
        <is>
          <t>2015-Oct SuperDARN radar data in netCDF format. These files were produced using versions 3.0 of the public FitACF and make_grid algorithms, using the AACGM v2 coordinate system. Cite this dataset if using our data in a publication.  The RST is available here: https://github.com/SuperDARN/rst  The re</t>
        </is>
      </c>
      <c r="E120" s="5" t="inlineStr"/>
      <c r="F120" s="5" t="n">
        <v>1026</v>
      </c>
      <c r="G120" s="5" t="n">
        <v>640.7</v>
      </c>
      <c r="H120" s="5" t="inlineStr"/>
      <c r="I120" s="5" t="inlineStr"/>
      <c r="J120" s="7" t="inlineStr"/>
    </row>
    <row r="121">
      <c r="A121" s="8" t="n">
        <v>120</v>
      </c>
      <c r="B121" s="9" t="inlineStr">
        <is>
          <t>7949582</t>
        </is>
      </c>
      <c r="C121" s="10" t="inlineStr">
        <is>
          <t>Dataset TrainBatch1 for the MICCAI-2022-Challenge: Airway Tree Modeling (ATM'22)</t>
        </is>
      </c>
      <c r="D121" s="10" t="inlineStr">
        <is>
          <t>Dataset for the MICCAI-2022-Challenge: Airway Tree Modeling (ATM'22) 
 This is the TrainBatch1.  
 We provide the casename correspondence information in the TrainBatch1_CaseInfo.csv file.  It is convinient for researchers to locate the original cases in LIDC-IDRI with our provided full airway anno</t>
        </is>
      </c>
      <c r="E121" s="8" t="inlineStr">
        <is>
          <t>.rar</t>
        </is>
      </c>
      <c r="F121" s="8" t="n">
        <v>2</v>
      </c>
      <c r="G121" s="8" t="n">
        <v>30785.4</v>
      </c>
      <c r="H121" s="8" t="inlineStr"/>
      <c r="I121" s="8" t="inlineStr"/>
      <c r="J121" s="10" t="inlineStr"/>
    </row>
    <row r="122">
      <c r="A122" s="5" t="n">
        <v>121</v>
      </c>
      <c r="B122" s="6" t="inlineStr">
        <is>
          <t>7650858</t>
        </is>
      </c>
      <c r="C122" s="7" t="inlineStr">
        <is>
          <t>SuperDARN Grid data in netCDF format (2010-Oct)</t>
        </is>
      </c>
      <c r="D122" s="7" t="inlineStr">
        <is>
          <t>2010-Oct SuperDARN radar data in netCDF format. These files were produced using versions 3.0 of the public FitACF and make_grid algorithms, using the AACGM v2 coordinate system. Cite this dataset if using our data in a publication.  The RST is available here: https://github.com/SuperDARN/rst  The re</t>
        </is>
      </c>
      <c r="E122" s="5" t="inlineStr"/>
      <c r="F122" s="5" t="n">
        <v>618</v>
      </c>
      <c r="G122" s="5" t="n">
        <v>462.9</v>
      </c>
      <c r="H122" s="5" t="inlineStr"/>
      <c r="I122" s="5" t="inlineStr"/>
      <c r="J122" s="7" t="inlineStr"/>
    </row>
    <row r="123">
      <c r="A123" s="8" t="n">
        <v>122</v>
      </c>
      <c r="B123" s="9" t="inlineStr">
        <is>
          <t>1137746</t>
        </is>
      </c>
      <c r="C123" s="10" t="inlineStr">
        <is>
          <t>Supplementary Material for Nested Segmentation of Web Search Queries</t>
        </is>
      </c>
      <c r="D123" s="10" t="inlineStr">
        <is>
          <t>1. Query test of SGCL12 [SGCL12QueryTestSet.txt] 
 2. Outputs of 16 nesting algorithms on the query test set of SGCL12 [Input flat segmention: Saha Roy et al., SIGIR 2012] [Nested Segmentation Outputs SGCL12.zip] 
 3. Query set of TREC-WT [TREC-WTQueryTestSet.txt] 
 4. Outputs of 16 nesting algor</t>
        </is>
      </c>
      <c r="E123" s="8" t="inlineStr">
        <is>
          <t>.zip</t>
        </is>
      </c>
      <c r="F123" s="8" t="n">
        <v>7</v>
      </c>
      <c r="G123" s="8" t="n">
        <v>1</v>
      </c>
      <c r="H123" s="8" t="inlineStr"/>
      <c r="I123" s="8" t="inlineStr"/>
      <c r="J123" s="10" t="inlineStr"/>
    </row>
    <row r="124">
      <c r="A124" s="5" t="n">
        <v>123</v>
      </c>
      <c r="B124" s="6" t="inlineStr">
        <is>
          <t>7641724</t>
        </is>
      </c>
      <c r="C124" s="7" t="inlineStr">
        <is>
          <t>Doodleverse/Segmentation Zoo/Seg2Map SegFormer models for CoastTrain/8-class segmentation of RGB 768x768 NAIP images</t>
        </is>
      </c>
      <c r="D124" s="7" t="inlineStr">
        <is>
          <t>Doodleverse/Segmentation Zoo/Seg2Map SegFormer models for CoastTrain/8-class segmentation of RGB 768x768 NAIP images   
 These Segformer model data are based on Coast Train images and associated labels. https://coasttrain.github.io/CoastTrain/docs/Version%201:%20March%202022/data 
 Models have bee</t>
        </is>
      </c>
      <c r="E124" s="5" t="inlineStr">
        <is>
          <t>.h5, .npz, .png</t>
        </is>
      </c>
      <c r="F124" s="5" t="n">
        <v>18</v>
      </c>
      <c r="G124" s="5" t="n">
        <v>43.6</v>
      </c>
      <c r="H124" s="5" t="inlineStr"/>
      <c r="I124" s="5" t="inlineStr"/>
      <c r="J124" s="7" t="inlineStr"/>
    </row>
    <row r="125">
      <c r="A125" s="8" t="n">
        <v>124</v>
      </c>
      <c r="B125" s="9" t="inlineStr">
        <is>
          <t>4185955</t>
        </is>
      </c>
      <c r="C125" s="10" t="inlineStr">
        <is>
          <t>Data for "Bayesian inference for biophysical neuron models enables stimulus optimization for retinal neuroprosthetics"</t>
        </is>
      </c>
      <c r="D125" s="10" t="inlineStr">
        <is>
          <t xml:space="preserve">Experimental and precomputed data for the paper "Bayesian inference for biophysical neuron models enables stimulus optimization for retinal neuroprosthetics" by Oesterle et al. 2020 (DOI:  10.7554/eLife.54997 ). 
 The cone bipolar cell data has been described and published in the paper "Inhibition </t>
        </is>
      </c>
      <c r="E125" s="8" t="inlineStr">
        <is>
          <t>.zip</t>
        </is>
      </c>
      <c r="F125" s="8" t="n">
        <v>1</v>
      </c>
      <c r="G125" s="8" t="n">
        <v>12989.3</v>
      </c>
      <c r="H125" s="8" t="inlineStr"/>
      <c r="I125" s="8" t="inlineStr"/>
      <c r="J125" s="10" t="inlineStr"/>
    </row>
    <row r="126">
      <c r="A126" s="5" t="n">
        <v>125</v>
      </c>
      <c r="B126" s="6" t="inlineStr">
        <is>
          <t>6506353</t>
        </is>
      </c>
      <c r="C126" s="7" t="inlineStr">
        <is>
          <t>Examples of misclassified images of papilledema severity by the Deep Learning System</t>
        </is>
      </c>
      <c r="D126" s="7" t="inlineStr">
        <is>
          <t>The study's objective is to evaluate the performance of a deep learning system (DLS) in classifying the severity of papilledema associated with increased intracranial pressure, on standard retinal fundus photographs. 
 A DLS was trained to automatically classify papilledema severity in 965 patients</t>
        </is>
      </c>
      <c r="E126" s="5" t="inlineStr">
        <is>
          <t>.png</t>
        </is>
      </c>
      <c r="F126" s="5" t="n">
        <v>2</v>
      </c>
      <c r="G126" s="5" t="n">
        <v>1.7</v>
      </c>
      <c r="H126" s="5" t="inlineStr"/>
      <c r="I126" s="5" t="inlineStr"/>
      <c r="J126" s="7" t="inlineStr"/>
    </row>
    <row r="127">
      <c r="A127" s="8" t="n">
        <v>126</v>
      </c>
      <c r="B127" s="9" t="inlineStr">
        <is>
          <t>15115542</t>
        </is>
      </c>
      <c r="C127" s="10" t="inlineStr">
        <is>
          <t>Dataset and codes for paper: VSOT: Volume-Surface Optimization for Accurate Ultrastructure Analysis of Dendritic Spines</t>
        </is>
      </c>
      <c r="D127" s="10" t="inlineStr">
        <is>
          <t>VSOT: Volume-Surface Optimization for Accurate Ultrastructure Analysis of Dendritic Spines. 
 VSOT is a method based on volume-surface optimization that is designed for the accurate structural analysis of dendritic reconstruction. VSOT accurately segments dendritic reconstructions into compartments,</t>
        </is>
      </c>
      <c r="E127" s="8" t="inlineStr">
        <is>
          <t>.zip</t>
        </is>
      </c>
      <c r="F127" s="8" t="n">
        <v>5</v>
      </c>
      <c r="G127" s="8" t="n">
        <v>3857.9</v>
      </c>
      <c r="H127" s="8" t="inlineStr"/>
      <c r="I127" s="8" t="inlineStr"/>
      <c r="J127" s="10" t="inlineStr"/>
    </row>
    <row r="128">
      <c r="A128" s="5" t="n">
        <v>127</v>
      </c>
      <c r="B128" s="6" t="inlineStr">
        <is>
          <t>5227301</t>
        </is>
      </c>
      <c r="C128" s="7" t="inlineStr">
        <is>
          <t>U-Net model for Arabidopsis segmentation in 3D</t>
        </is>
      </c>
      <c r="D128" s="7" t="inlineStr">
        <is>
          <t>U-Net segmentation model to be used in Vollseg notebooks and scripts for 3D segmentation of Arabidopsis membrane datasets in 3D.</t>
        </is>
      </c>
      <c r="E128" s="5" t="inlineStr">
        <is>
          <t>.h5</t>
        </is>
      </c>
      <c r="F128" s="5" t="n">
        <v>4</v>
      </c>
      <c r="G128" s="5" t="n">
        <v>51.7</v>
      </c>
      <c r="H128" s="5" t="inlineStr"/>
      <c r="I128" s="5" t="inlineStr"/>
      <c r="J128" s="7" t="inlineStr"/>
    </row>
    <row r="129">
      <c r="A129" s="8" t="n">
        <v>128</v>
      </c>
      <c r="B129" s="9" t="inlineStr">
        <is>
          <t>14822997</t>
        </is>
      </c>
      <c r="C129" s="10" t="inlineStr">
        <is>
          <t>Exploring high PT experimental charges through the lens of phase maps: Dataset</t>
        </is>
      </c>
      <c r="D129" s="10" t="inlineStr">
        <is>
          <t>Main dataset 
 This dataset contains the files required to reproduce the figures and findings delivered in  Kamber et al. (2025)  "Exploring high PT experimental charges through the lens of phase maps" 
 The folders contains: 
 scripts_update = scripts to generate the phase maps after QuPath segme</t>
        </is>
      </c>
      <c r="E129" s="8" t="inlineStr">
        <is>
          <t>.zip</t>
        </is>
      </c>
      <c r="F129" s="8" t="n">
        <v>1</v>
      </c>
      <c r="G129" s="8" t="n">
        <v>3152.9</v>
      </c>
      <c r="H129" s="8" t="inlineStr"/>
      <c r="I129" s="8" t="inlineStr"/>
      <c r="J129" s="10" t="inlineStr"/>
    </row>
    <row r="130">
      <c r="A130" s="5" t="n">
        <v>129</v>
      </c>
      <c r="B130" s="6" t="inlineStr">
        <is>
          <t>16883916</t>
        </is>
      </c>
      <c r="C130" s="7" t="inlineStr">
        <is>
          <t>LEAF_SEGMENTATION</t>
        </is>
      </c>
      <c r="D130" s="7" t="inlineStr">
        <is>
          <t xml:space="preserve">Code to reproduce the segmentation of grapevine leaves. All models and scripts are included but intermediary outputs have been excluded due to size limitations. 
 Project Overview 
 This collection represents the complete, fully reproducible pipeline for a single project focused on the instance and </t>
        </is>
      </c>
      <c r="E130" s="5" t="inlineStr">
        <is>
          <t>.zip</t>
        </is>
      </c>
      <c r="F130" s="5" t="n">
        <v>1</v>
      </c>
      <c r="G130" s="5" t="n">
        <v>309.4</v>
      </c>
      <c r="H130" s="5" t="inlineStr"/>
      <c r="I130" s="5" t="inlineStr"/>
      <c r="J130" s="7" t="inlineStr"/>
    </row>
    <row r="131">
      <c r="A131" s="8" t="n">
        <v>130</v>
      </c>
      <c r="B131" s="9" t="inlineStr">
        <is>
          <t>4950918</t>
        </is>
      </c>
      <c r="C131" s="10" t="inlineStr">
        <is>
          <t>Data from: Analysis of potential ischemic effect of intravitreal bevacizumab on unaffected retina in treatment-naïve mac</t>
        </is>
      </c>
      <c r="D131" s="10" t="inlineStr">
        <is>
          <t>Background: To study potential ischemic effects of intravitreal Bevacizumab (IVB) on unaffected retina in treatment-naive eyes with macular edema secondary to branch retinal vein occlusion (BRVO) and contralateral eyes secondary to systemic absorption. Methods and Findings: Prospective, intervention</t>
        </is>
      </c>
      <c r="E131" s="8" t="inlineStr">
        <is>
          <t>.rar</t>
        </is>
      </c>
      <c r="F131" s="8" t="n">
        <v>3</v>
      </c>
      <c r="G131" s="8" t="n">
        <v>58.6</v>
      </c>
      <c r="H131" s="8" t="inlineStr"/>
      <c r="I131" s="8" t="inlineStr"/>
      <c r="J131" s="10" t="inlineStr"/>
    </row>
    <row r="132">
      <c r="A132" s="5" t="n">
        <v>131</v>
      </c>
      <c r="B132" s="6" t="inlineStr">
        <is>
          <t>7604077</t>
        </is>
      </c>
      <c r="C132" s="7" t="inlineStr">
        <is>
          <t>Doodleverse/Segmentation Zoo Res-UNet models for Aerial/nadir/2-class (water, nowater) segmentation of RGB 1024x768 high</t>
        </is>
      </c>
      <c r="D132" s="7" t="inlineStr">
        <is>
          <t>Doodleverse/Segmentation Zoo Res-UNet models for Aerial/nadir/2-class (water, nowater) segmentation of RGB 1024x768 high-res. images   
 These Residual-UNet models have been created using Segmentation Gym* using the following dataset**: 
 Image size used by model: 1024 x 768 x 3 pixels 
 classes:</t>
        </is>
      </c>
      <c r="E132" s="5" t="inlineStr">
        <is>
          <t>.h5, .npz, .png</t>
        </is>
      </c>
      <c r="F132" s="5" t="n">
        <v>15</v>
      </c>
      <c r="G132" s="5" t="n">
        <v>147.4</v>
      </c>
      <c r="H132" s="5" t="inlineStr"/>
      <c r="I132" s="5" t="inlineStr"/>
      <c r="J132" s="7" t="inlineStr"/>
    </row>
    <row r="133">
      <c r="A133" s="8" t="n">
        <v>132</v>
      </c>
      <c r="B133" s="9" t="inlineStr">
        <is>
          <t>3820402</t>
        </is>
      </c>
      <c r="C133" s="10" t="inlineStr">
        <is>
          <t>Optogenetic response of mouse and macaque retinal ganglion cells</t>
        </is>
      </c>
      <c r="D133" s="10" t="inlineStr">
        <is>
          <t>Data presented in "Towards optogenetic vision restoration with high resolution" 
BioRxiv https://www.biorxiv.org/content/10.1101/470773v1, to appear in PLOS Computational Biology. 
Please cite this paper if the data have been useful for you. 
 Data contains multi-electrode array recordings of optog</t>
        </is>
      </c>
      <c r="E133" s="8" t="inlineStr">
        <is>
          <t>.mat</t>
        </is>
      </c>
      <c r="F133" s="8" t="n">
        <v>3</v>
      </c>
      <c r="G133" s="8" t="n">
        <v>98.09999999999999</v>
      </c>
      <c r="H133" s="8" t="inlineStr"/>
      <c r="I133" s="8" t="inlineStr"/>
      <c r="J133" s="10" t="inlineStr"/>
    </row>
    <row r="134">
      <c r="A134" s="5" t="n">
        <v>133</v>
      </c>
      <c r="B134" s="6" t="inlineStr">
        <is>
          <t>14907522</t>
        </is>
      </c>
      <c r="C134" s="7" t="inlineStr">
        <is>
          <t>AMPERE Summary Plot Movies (2020-Oct)</t>
        </is>
      </c>
      <c r="D134" s="7" t="inlineStr">
        <is>
          <t>2020-Oct AMPERE summary plot movies. See included zenodo_summary_plot_movie_description document for details.</t>
        </is>
      </c>
      <c r="E134" s="5" t="inlineStr">
        <is>
          <t>.zip</t>
        </is>
      </c>
      <c r="F134" s="5" t="n">
        <v>32</v>
      </c>
      <c r="G134" s="5" t="n">
        <v>2752.8</v>
      </c>
      <c r="H134" s="5" t="inlineStr"/>
      <c r="I134" s="5" t="inlineStr"/>
      <c r="J134" s="7" t="inlineStr"/>
    </row>
    <row r="135">
      <c r="A135" s="8" t="n">
        <v>134</v>
      </c>
      <c r="B135" s="9" t="inlineStr">
        <is>
          <t>17335521</t>
        </is>
      </c>
      <c r="C135" s="10" t="inlineStr">
        <is>
          <t>Dataset for: Transfer learning-based encoder-decoder model with visual explanations for infrastructure crack segmentatio</t>
        </is>
      </c>
      <c r="D135" s="10" t="inlineStr">
        <is>
          <t>This is the dataset for the following paper:  
 Fangyu Liu, Wenqi Ding, Yafei Qiao, and Linbing Wang. "Transfer learning-based encoder-decoder model with visual explanations for infrastructure crack segmentation: New open database and comprehensive evaluation." Underground Space 17 (2024): 60-81. ht</t>
        </is>
      </c>
      <c r="E135" s="8" t="inlineStr">
        <is>
          <t>.zip</t>
        </is>
      </c>
      <c r="F135" s="8" t="n">
        <v>1</v>
      </c>
      <c r="G135" s="8" t="n">
        <v>782</v>
      </c>
      <c r="H135" s="8" t="inlineStr"/>
      <c r="I135" s="8" t="inlineStr"/>
      <c r="J135" s="10" t="inlineStr"/>
    </row>
    <row r="136">
      <c r="A136" s="5" t="n">
        <v>135</v>
      </c>
      <c r="B136" s="6" t="inlineStr">
        <is>
          <t>17103009</t>
        </is>
      </c>
      <c r="C136" s="7" t="inlineStr">
        <is>
          <t>Minimal dataset for "Cellular-resolution OCT reveals layer-specific retinal mosaics and ganglion cell degeneration in mo</t>
        </is>
      </c>
      <c r="D136" s="7" t="inlineStr">
        <is>
          <t>This dataset provides the minimal data underlying the findings of the manuscript submitted to Neurophotonics: Cellular-resolution OCT reveals layer-specific retinal mosaics and ganglion cell degeneration in mouse retina in vivo. 
 Contents include: 
 - Data_Summary.xlsx: raw numerical values support</t>
        </is>
      </c>
      <c r="E136" s="5" t="inlineStr">
        <is>
          <t>.zip</t>
        </is>
      </c>
      <c r="F136" s="5" t="n">
        <v>1</v>
      </c>
      <c r="G136" s="5" t="n">
        <v>7036.5</v>
      </c>
      <c r="H136" s="5" t="inlineStr"/>
      <c r="I136" s="5" t="inlineStr"/>
      <c r="J136" s="7" t="inlineStr"/>
    </row>
    <row r="137">
      <c r="A137" s="8" t="n">
        <v>136</v>
      </c>
      <c r="B137" s="9" t="inlineStr">
        <is>
          <t>14906032</t>
        </is>
      </c>
      <c r="C137" s="10" t="inlineStr">
        <is>
          <t>AMPERE Summary Plot Movies (2017-Oct)</t>
        </is>
      </c>
      <c r="D137" s="10" t="inlineStr">
        <is>
          <t>2017-Oct AMPERE summary plot movies. See included zenodo_summary_plot_movie_description document for details.</t>
        </is>
      </c>
      <c r="E137" s="8" t="inlineStr">
        <is>
          <t>.zip</t>
        </is>
      </c>
      <c r="F137" s="8" t="n">
        <v>32</v>
      </c>
      <c r="G137" s="8" t="n">
        <v>2729.7</v>
      </c>
      <c r="H137" s="8" t="inlineStr"/>
      <c r="I137" s="8" t="inlineStr"/>
      <c r="J137" s="10" t="inlineStr"/>
    </row>
    <row r="138">
      <c r="A138" s="5" t="n">
        <v>137</v>
      </c>
      <c r="B138" s="6" t="inlineStr">
        <is>
          <t>17958965</t>
        </is>
      </c>
      <c r="C138" s="7" t="inlineStr">
        <is>
          <t>Motion enhances camouflage: Retinal evidence for flicker fusion camouflage in jumping spiders</t>
        </is>
      </c>
      <c r="D138" s="7" t="inlineStr">
        <is>
          <t>This is the dataset for 
 Min Tan, Alex M. Winsor, Long Yu, Eunice J. Tan, Elizabeth M. Jakob, Daiqin Li. (2025). Motion enhances camouflage: Retinal evidence for flicker fusion camouflage in jumping spiders. 
  Funding sources  
  This study was supported by the grants from the National Natural Sci</t>
        </is>
      </c>
      <c r="E138" s="5" t="inlineStr">
        <is>
          <t>.zip</t>
        </is>
      </c>
      <c r="F138" s="5" t="n">
        <v>1</v>
      </c>
      <c r="G138" s="5" t="n">
        <v>1.5</v>
      </c>
      <c r="H138" s="5" t="inlineStr"/>
      <c r="I138" s="5" t="inlineStr"/>
      <c r="J138" s="7" t="inlineStr"/>
    </row>
    <row r="139">
      <c r="A139" s="8" t="n">
        <v>138</v>
      </c>
      <c r="B139" s="9" t="inlineStr">
        <is>
          <t>8125822</t>
        </is>
      </c>
      <c r="C139" s="10" t="inlineStr">
        <is>
          <t>Annotation-free Audio-Visual Segmentation</t>
        </is>
      </c>
      <c r="D139" s="10" t="inlineStr">
        <is>
          <t>## AVS-Synthetic Dataset 
********** 
### Updated 2023-08-22 
1. The paper [`Annotation-free Audio-Visual Segmentation`](https://arxiv.org/abs/2305.11019v3) with the dataset is accepted by WACV2024. The project page is [https://jinxiang-liu.github.io/anno-free-AVS/](https://jinxiang-liu.github.io/an</t>
        </is>
      </c>
      <c r="E139" s="8" t="inlineStr">
        <is>
          <t>.zip</t>
        </is>
      </c>
      <c r="F139" s="8" t="n">
        <v>6</v>
      </c>
      <c r="G139" s="8" t="n">
        <v>17765.1</v>
      </c>
      <c r="H139" s="8" t="inlineStr"/>
      <c r="I139" s="8" t="inlineStr"/>
      <c r="J139" s="10" t="inlineStr"/>
    </row>
    <row r="140">
      <c r="A140" s="5" t="n">
        <v>139</v>
      </c>
      <c r="B140" s="6" t="inlineStr">
        <is>
          <t>7557072</t>
        </is>
      </c>
      <c r="C140" s="7" t="inlineStr">
        <is>
          <t>Doodleverse/Segmentation Zoo Res-UNet models for 2-class (water, other) segmentation of Sentinel-2 and Landsat-7/8 1-ban</t>
        </is>
      </c>
      <c r="D140" s="7" t="inlineStr">
        <is>
          <t>Doodleverse/Segmentation Zoo Res-UNet models for 2-class (water, other) segmentation of Sentinel-2 and Landsat-7/8 1-band NDWI images of coasts.   
 These Residual-UNet model data are based on NDWI images of coasts and associated labels. 
 Models have been created using Segmentation Gym* using the</t>
        </is>
      </c>
      <c r="E140" s="5" t="inlineStr">
        <is>
          <t>.h5, .npz, .png</t>
        </is>
      </c>
      <c r="F140" s="5" t="n">
        <v>27</v>
      </c>
      <c r="G140" s="5" t="n">
        <v>332.1</v>
      </c>
      <c r="H140" s="5" t="inlineStr"/>
      <c r="I140" s="5" t="inlineStr"/>
      <c r="J140" s="7" t="inlineStr"/>
    </row>
    <row r="141">
      <c r="A141" s="8" t="n">
        <v>140</v>
      </c>
      <c r="B141" s="9" t="inlineStr">
        <is>
          <t>8213443</t>
        </is>
      </c>
      <c r="C141" s="10" t="inlineStr">
        <is>
          <t>Doodleverse/CoastSeg Segformer models for 4-class (water, whitewater, sediment and other) segmentation of Sentinel-2 and</t>
        </is>
      </c>
      <c r="D141" s="10" t="inlineStr">
        <is>
          <t>Doodleverse/CoastSeg Segformer models for 4-class (water, whitewater, sediment and other) segmentation of Sentinel-2 and Landsat-7/8 MNDWI images of coasts.   
 Models have been created using Segmentation Gym* using the following datasets ** https://zenodo.org/record/7384263 and ***: https://doi.or</t>
        </is>
      </c>
      <c r="E141" s="8" t="inlineStr">
        <is>
          <t>.h5, .npz, .png</t>
        </is>
      </c>
      <c r="F141" s="8" t="n">
        <v>16</v>
      </c>
      <c r="G141" s="8" t="n">
        <v>29.4</v>
      </c>
      <c r="H141" s="8" t="inlineStr"/>
      <c r="I141" s="8" t="inlineStr"/>
      <c r="J141" s="10" t="inlineStr"/>
    </row>
    <row r="142">
      <c r="A142" s="5" t="n">
        <v>141</v>
      </c>
      <c r="B142" s="6" t="inlineStr">
        <is>
          <t>7957454</t>
        </is>
      </c>
      <c r="C142" s="7" t="inlineStr">
        <is>
          <t>Retina OCT glaucoma</t>
        </is>
      </c>
      <c r="D142" s="7" t="inlineStr">
        <is>
          <t>This data set is part of the public development data for the  2023 Automated Universal Classification Challenge  (AUC23). The data set was previously introduced and described by  Ishikawa, H. (2018)  and concerns the classification of eyes as healthy or glaucomatous from optical coherence tomography</t>
        </is>
      </c>
      <c r="E142" s="5" t="inlineStr">
        <is>
          <t>.zip</t>
        </is>
      </c>
      <c r="F142" s="5" t="n">
        <v>1</v>
      </c>
      <c r="G142" s="5" t="n">
        <v>358.9</v>
      </c>
      <c r="H142" s="5" t="inlineStr"/>
      <c r="I142" s="5" t="inlineStr"/>
      <c r="J142" s="7" t="inlineStr"/>
    </row>
    <row r="143">
      <c r="A143" s="8" t="n">
        <v>142</v>
      </c>
      <c r="B143" s="9" t="inlineStr">
        <is>
          <t>7476775</t>
        </is>
      </c>
      <c r="C143" s="10" t="inlineStr">
        <is>
          <t>Immunostaining data for reviewing manuscript</t>
        </is>
      </c>
      <c r="D143" s="10" t="inlineStr">
        <is>
          <t>The reviewing manuscript entitled "CRISPR/Cas9 Mediated Specific Ablation of Vegfa in Retinal Pigment Epithelium Efficiently Regresses Choroidal Neovascularization" show immunostaining in the figure plates. The entire immunostaining images series are provided here as .tif image sequences. The file n</t>
        </is>
      </c>
      <c r="E143" s="8" t="inlineStr">
        <is>
          <t>.tif</t>
        </is>
      </c>
      <c r="F143" s="8" t="n">
        <v>5</v>
      </c>
      <c r="G143" s="8" t="n">
        <v>9.300000000000001</v>
      </c>
      <c r="H143" s="8" t="inlineStr"/>
      <c r="I143" s="8" t="inlineStr"/>
      <c r="J143" s="10" t="inlineStr"/>
    </row>
    <row r="144">
      <c r="A144" s="5" t="n">
        <v>143</v>
      </c>
      <c r="B144" s="6" t="inlineStr">
        <is>
          <t>15105761</t>
        </is>
      </c>
      <c r="C144" s="7" t="inlineStr">
        <is>
          <t>OCTA-Mosaicking Dataset</t>
        </is>
      </c>
      <c r="D144" s="7" t="inlineStr">
        <is>
          <t>This repository includes the following archives: 
 OCTA-MosaickingDataset.zip 
 Mosaicking_Results.zip 
 The file " OCTA-MosaickingDataset.zip " includes a dataset with 19 sets of superficial capillary plexus OCTA images captured from 10 patients (right and left eyes, except for patient #6, whic</t>
        </is>
      </c>
      <c r="E144" s="5" t="inlineStr">
        <is>
          <t>.zip</t>
        </is>
      </c>
      <c r="F144" s="5" t="n">
        <v>2</v>
      </c>
      <c r="G144" s="5" t="n">
        <v>91.2</v>
      </c>
      <c r="H144" s="5" t="inlineStr"/>
      <c r="I144" s="5" t="inlineStr"/>
      <c r="J144" s="7" t="inlineStr"/>
    </row>
    <row r="145">
      <c r="A145" s="8" t="n">
        <v>144</v>
      </c>
      <c r="B145" s="9" t="inlineStr">
        <is>
          <t>4299195</t>
        </is>
      </c>
      <c r="C145" s="10" t="inlineStr">
        <is>
          <t>Systemic paralogy and function of retinal determination network homologs in arachnids</t>
        </is>
      </c>
      <c r="D145" s="10" t="inlineStr">
        <is>
          <t>Arachnids are important components of cave ecosystems and display many examples of troglomorphisms, such as blindness, depigmentation, and elongate appendages. Little is known about how the eyes of arachnids are specified genetically, let alone the mechanisms for eye reduction and loss in troglomorp</t>
        </is>
      </c>
      <c r="E145" s="8" t="inlineStr">
        <is>
          <t>.zip</t>
        </is>
      </c>
      <c r="F145" s="8" t="n">
        <v>6</v>
      </c>
      <c r="G145" s="8" t="n">
        <v>57.3</v>
      </c>
      <c r="H145" s="8" t="inlineStr"/>
      <c r="I145" s="8" t="inlineStr"/>
      <c r="J145" s="10" t="inlineStr"/>
    </row>
    <row r="146">
      <c r="A146" s="5" t="n">
        <v>145</v>
      </c>
      <c r="B146" s="6" t="inlineStr">
        <is>
          <t>14847200</t>
        </is>
      </c>
      <c r="C146" s="7" t="inlineStr">
        <is>
          <t>NACHOS dataset: OCT and Xray</t>
        </is>
      </c>
      <c r="D146" s="7" t="inlineStr">
        <is>
          <t>The following datasets are part of a future paper. 
 Kidney OCT dataset 
 Three type of tissues were sampled: cortex, medulla, and pelvis. Image size: 185*210 pixels. The OCT dataset comes from 10 porcine kidneys. For each kidney and tissue, there are 30 volumes. Each volume contain 20 images. Total</t>
        </is>
      </c>
      <c r="E146" s="5" t="inlineStr">
        <is>
          <t>.zip</t>
        </is>
      </c>
      <c r="F146" s="5" t="n">
        <v>2</v>
      </c>
      <c r="G146" s="5" t="n">
        <v>2059.5</v>
      </c>
      <c r="H146" s="5" t="inlineStr"/>
      <c r="I146" s="5" t="inlineStr"/>
      <c r="J146" s="7" t="inlineStr"/>
    </row>
    <row r="147">
      <c r="A147" s="8" t="n">
        <v>146</v>
      </c>
      <c r="B147" s="9" t="inlineStr">
        <is>
          <t>14918858</t>
        </is>
      </c>
      <c r="C147" s="10" t="inlineStr">
        <is>
          <t>AMPERE Summary Plot Movies (2022-Oct)</t>
        </is>
      </c>
      <c r="D147" s="10" t="inlineStr">
        <is>
          <t>2022-Oct AMPERE summary plot movies. See included zenodo_summary_plot_movie_description document for details.</t>
        </is>
      </c>
      <c r="E147" s="8" t="inlineStr">
        <is>
          <t>.zip</t>
        </is>
      </c>
      <c r="F147" s="8" t="n">
        <v>32</v>
      </c>
      <c r="G147" s="8" t="n">
        <v>2785.9</v>
      </c>
      <c r="H147" s="8" t="inlineStr"/>
      <c r="I147" s="8" t="inlineStr"/>
      <c r="J147" s="10" t="inlineStr"/>
    </row>
    <row r="148">
      <c r="A148" s="5" t="n">
        <v>147</v>
      </c>
      <c r="B148" s="6" t="inlineStr">
        <is>
          <t>7576904</t>
        </is>
      </c>
      <c r="C148" s="7" t="inlineStr">
        <is>
          <t>Doodleverse/Segmentation Zoo/Seg2Map Res-UNet models for Chesapeake/7-class segmentation of RGB 512x512 high-res. images</t>
        </is>
      </c>
      <c r="D148" s="7" t="inlineStr">
        <is>
          <t>Doodleverse/Segmentation Zoo/Seg2Map Res-UNet models for Chesapeake/7-class segmentation of RGB 512x512 high-res. images   
 These Residual-UNet model data are based on Chesapeake Land Cover images and associated labels. 
 Models have been created using Segmentation Gym* using the following datase</t>
        </is>
      </c>
      <c r="E148" s="5" t="inlineStr">
        <is>
          <t>.h5, .npz, .png</t>
        </is>
      </c>
      <c r="F148" s="5" t="n">
        <v>28</v>
      </c>
      <c r="G148" s="5" t="n">
        <v>332.2</v>
      </c>
      <c r="H148" s="5" t="inlineStr"/>
      <c r="I148" s="5" t="inlineStr"/>
      <c r="J148" s="7" t="inlineStr"/>
    </row>
    <row r="149">
      <c r="A149" s="8" t="n">
        <v>148</v>
      </c>
      <c r="B149" s="9" t="inlineStr">
        <is>
          <t>11217687</t>
        </is>
      </c>
      <c r="C149" s="10" t="inlineStr">
        <is>
          <t>GWAS Summary Statistics For Eye Imaging Traits</t>
        </is>
      </c>
      <c r="D149" s="10" t="inlineStr">
        <is>
          <t>This repository hosts GWAS summary statistics for eye imaging traits (OCT and fundus image traits) on the UK Biobank cohort. 
 We have a website ( eyekp.org ) showing more details with respect to this repository.</t>
        </is>
      </c>
      <c r="E149" s="8" t="inlineStr">
        <is>
          <t>.zip</t>
        </is>
      </c>
      <c r="F149" s="8" t="n">
        <v>49</v>
      </c>
      <c r="G149" s="8" t="n">
        <v>31017.5</v>
      </c>
      <c r="H149" s="8" t="inlineStr"/>
      <c r="I149" s="8" t="inlineStr"/>
      <c r="J149" s="10" t="inlineStr"/>
    </row>
    <row r="150">
      <c r="A150" s="5" t="n">
        <v>149</v>
      </c>
      <c r="B150" s="6" t="inlineStr">
        <is>
          <t>4310119</t>
        </is>
      </c>
      <c r="C150" s="7" t="inlineStr">
        <is>
          <t>Longitudinal changes in the retinal microstructures of eyes with chiasmal compression</t>
        </is>
      </c>
      <c r="D150" s="7" t="inlineStr">
        <is>
          <t>Objective:  To test the hypothesis that there was a temporal change in the retinal microstructure after decompression surgery for chiasmal compression, the 1-year longitudinal changes in the inner and outer retinal thickness after decompression surgery were analyzed using spectral-domain optical coh</t>
        </is>
      </c>
      <c r="E150" s="5" t="inlineStr">
        <is>
          <t>.tif</t>
        </is>
      </c>
      <c r="F150" s="5" t="n">
        <v>3</v>
      </c>
      <c r="G150" s="5" t="n">
        <v>1.3</v>
      </c>
      <c r="H150" s="5" t="inlineStr"/>
      <c r="I150" s="5" t="inlineStr"/>
      <c r="J150" s="7" t="inlineStr"/>
    </row>
    <row r="151">
      <c r="A151" s="8" t="n">
        <v>150</v>
      </c>
      <c r="B151" s="9" t="inlineStr">
        <is>
          <t>7821950</t>
        </is>
      </c>
      <c r="C151" s="10" t="inlineStr">
        <is>
          <t>SuperDARN Grid data in netCDF format (2021-Oct)</t>
        </is>
      </c>
      <c r="D151" s="10" t="inlineStr">
        <is>
          <t>2021-Oct SuperDARN radar data in netCDF format. These files were produced using versions 3.0 of the public FitACF and make_grid algorithms, using the AACGM v2 coordinate system. Cite this dataset if using our data in a publication.  The RST is available here: https://github.com/SuperDARN/rst  The re</t>
        </is>
      </c>
      <c r="E151" s="8" t="inlineStr"/>
      <c r="F151" s="8" t="n">
        <v>623</v>
      </c>
      <c r="G151" s="8" t="n">
        <v>443</v>
      </c>
      <c r="H151" s="8" t="inlineStr"/>
      <c r="I151" s="8" t="inlineStr"/>
      <c r="J151" s="10" t="inlineStr"/>
    </row>
    <row r="152">
      <c r="A152" s="5" t="n">
        <v>151</v>
      </c>
      <c r="B152" s="6" t="inlineStr">
        <is>
          <t>12775880</t>
        </is>
      </c>
      <c r="C152" s="7" t="inlineStr">
        <is>
          <t>ROSE: Retinal OCT-Angiography segmentation dataset</t>
        </is>
      </c>
      <c r="D152" s="7" t="inlineStr">
        <is>
          <t xml:space="preserve">Retinal OCT-Angiography Vessel Segmentation Dataset (ROSE) is now open source. It includes two subsets:  ROSE-1  and  ROSE-2 .  
  ROSE-1  subset consists of a total of  117  OCTA images from 39 subjects (26 with disease  and the rest are healthy control) and was split into 90 images for training </t>
        </is>
      </c>
      <c r="E152" s="5" t="inlineStr"/>
      <c r="F152" s="5" t="n">
        <v>0</v>
      </c>
      <c r="G152" s="5" t="n">
        <v>0</v>
      </c>
      <c r="H152" s="5" t="inlineStr"/>
      <c r="I152" s="5" t="inlineStr"/>
      <c r="J152" s="7" t="inlineStr"/>
    </row>
    <row r="153">
      <c r="A153" s="8" t="n">
        <v>152</v>
      </c>
      <c r="B153" s="9" t="inlineStr">
        <is>
          <t>15873244</t>
        </is>
      </c>
      <c r="C153" s="10" t="inlineStr">
        <is>
          <t>Involvement of Microglia in RGC Injury Induced by IOP Elevation in a Rat Ex Vivo Model</t>
        </is>
      </c>
      <c r="D153" s="10" t="inlineStr">
        <is>
          <t>This dataset supports the findings of the manuscript titled: 
 "Involvement of microglia in retinal ganglion cell injury induced by IOP elevation in a rat ex vivo acute glaucoma model." 
 In this study, we used a rat ex vivo model of acute intraocular pressure (IOP) elevation to investigate the role</t>
        </is>
      </c>
      <c r="E153" s="8" t="inlineStr">
        <is>
          <t>.zip</t>
        </is>
      </c>
      <c r="F153" s="8" t="n">
        <v>1</v>
      </c>
      <c r="G153" s="8" t="n">
        <v>186.8</v>
      </c>
      <c r="H153" s="8" t="inlineStr"/>
      <c r="I153" s="8" t="inlineStr"/>
      <c r="J153" s="10" t="inlineStr"/>
    </row>
    <row r="154">
      <c r="A154" s="5" t="n">
        <v>153</v>
      </c>
      <c r="B154" s="6" t="inlineStr">
        <is>
          <t>10120360</t>
        </is>
      </c>
      <c r="C154" s="7" t="inlineStr">
        <is>
          <t>Phospho-seq: Integrated, multi-modal profiling of intracellular protein dynamics in single cells</t>
        </is>
      </c>
      <c r="D154" s="7" t="inlineStr">
        <is>
          <t>Datasets to go along with the publication listed:  full_object.rds: Brain Organoid Phospho-Seq dataset with ATAC, Protein and imputed RNA data  rna_object.rds: Reference whole cell scRNA-Seq object on Brain organoids  multiome_object.rds: Bridge dataset containing RNA and ATAC modalities for Brain o</t>
        </is>
      </c>
      <c r="E154" s="5" t="inlineStr">
        <is>
          <t>.gz</t>
        </is>
      </c>
      <c r="F154" s="5" t="n">
        <v>17</v>
      </c>
      <c r="G154" s="5" t="n">
        <v>16526.1</v>
      </c>
      <c r="H154" s="5" t="inlineStr"/>
      <c r="I154" s="5" t="inlineStr"/>
      <c r="J154" s="7" t="inlineStr"/>
    </row>
    <row r="155">
      <c r="A155" s="8" t="n">
        <v>154</v>
      </c>
      <c r="B155" s="9" t="inlineStr">
        <is>
          <t>12172322</t>
        </is>
      </c>
      <c r="C155" s="10" t="inlineStr">
        <is>
          <t>Sample tilting for speckle suppression through angular compounding: Dataset</t>
        </is>
      </c>
      <c r="D155" s="10" t="inlineStr">
        <is>
          <t>This data file contains an angular series of 61 OCT intensity tomograms covering a range of 60 degrees (from -30° to +30°) with a step angle of 1° of chicken muscle tissue to generate angulary compounded speckled suppressed tomogram using the physics-informed affine mapping described in "Sample tilt</t>
        </is>
      </c>
      <c r="E155" s="8" t="inlineStr"/>
      <c r="F155" s="8" t="n">
        <v>1</v>
      </c>
      <c r="G155" s="8" t="n">
        <v>657.6</v>
      </c>
      <c r="H155" s="8" t="inlineStr"/>
      <c r="I155" s="8" t="inlineStr"/>
      <c r="J155" s="10" t="inlineStr"/>
    </row>
    <row r="156">
      <c r="A156" s="5" t="n">
        <v>155</v>
      </c>
      <c r="B156" s="6" t="inlineStr">
        <is>
          <t>6635685</t>
        </is>
      </c>
      <c r="C156" s="7" t="inlineStr">
        <is>
          <t>Comprehensive Automatic Processing and Analysis of Adaptive Optics Flood Illumination Retinal Images</t>
        </is>
      </c>
      <c r="D156" s="7" t="inlineStr">
        <is>
          <t>A collaborative research group has established this database to support AO-FIO image utilization and evaluation of photoreceptor detection.  
Please cite the following publication when using the database: 
 Eva Valterova, Jan D. Unterlauft, Mike Francke, Toralf Kirsten, Radim Kolar, and Franziska G</t>
        </is>
      </c>
      <c r="E156" s="5" t="inlineStr">
        <is>
          <t>.zip</t>
        </is>
      </c>
      <c r="F156" s="5" t="n">
        <v>3</v>
      </c>
      <c r="G156" s="5" t="n">
        <v>1100.4</v>
      </c>
      <c r="H156" s="5" t="inlineStr"/>
      <c r="I156" s="5" t="inlineStr"/>
      <c r="J156" s="7" t="inlineStr"/>
    </row>
    <row r="157">
      <c r="A157" s="8" t="n">
        <v>156</v>
      </c>
      <c r="B157" s="9" t="inlineStr">
        <is>
          <t>16582489</t>
        </is>
      </c>
      <c r="C157" s="10" t="inlineStr">
        <is>
          <t>AlphaDent</t>
        </is>
      </c>
      <c r="D157" s="10" t="inlineStr"/>
      <c r="E157" s="8" t="inlineStr">
        <is>
          <t>.zip</t>
        </is>
      </c>
      <c r="F157" s="8" t="n">
        <v>1</v>
      </c>
      <c r="G157" s="8" t="n">
        <v>4651.6</v>
      </c>
      <c r="H157" s="8" t="inlineStr"/>
      <c r="I157" s="8" t="inlineStr"/>
      <c r="J157" s="10" t="inlineStr"/>
    </row>
    <row r="158">
      <c r="A158" s="5" t="n">
        <v>157</v>
      </c>
      <c r="B158" s="6" t="inlineStr">
        <is>
          <t>5193696</t>
        </is>
      </c>
      <c r="C158" s="7" t="inlineStr">
        <is>
          <t>Data Set for 'Self-Supervised Machine Learning for Live Cell Imagery Segmentation'</t>
        </is>
      </c>
      <c r="D158" s="7" t="inlineStr">
        <is>
          <t>Self-supervised machine learning code and data for segmenting live cell imagery (Matlab)  
  Running the Code  
 SSL_Demo_2.m : main program for self-supervised machine learning segmentation 
 SSL_Declumping_2.m : main program for declumping application (applied to output of SSL_Demo_2.m) 
 This</t>
        </is>
      </c>
      <c r="E158" s="5" t="inlineStr">
        <is>
          <t>.zip</t>
        </is>
      </c>
      <c r="F158" s="5" t="n">
        <v>1</v>
      </c>
      <c r="G158" s="5" t="n">
        <v>254.1</v>
      </c>
      <c r="H158" s="5" t="inlineStr"/>
      <c r="I158" s="5" t="inlineStr"/>
      <c r="J158" s="7" t="inlineStr"/>
    </row>
    <row r="159">
      <c r="A159" s="8" t="n">
        <v>158</v>
      </c>
      <c r="B159" s="9" t="inlineStr">
        <is>
          <t>7843422</t>
        </is>
      </c>
      <c r="C159" s="10" t="inlineStr">
        <is>
          <t>Data from: Behavior shapes retinal motion statistics during natural locomotion</t>
        </is>
      </c>
      <c r="D159" s="10" t="inlineStr">
        <is>
          <t>Walking through an environment generates retinal motion, which humans rely on to perform a variety of visual tasks. Retinal motion patterns are determined by an interconnected set of factors, including gaze location, gaze stabilization, the structure of the environment, and the walker's goals. The c</t>
        </is>
      </c>
      <c r="E159" s="8" t="inlineStr">
        <is>
          <t>.zip</t>
        </is>
      </c>
      <c r="F159" s="8" t="n">
        <v>2</v>
      </c>
      <c r="G159" s="8" t="n">
        <v>12907.4</v>
      </c>
      <c r="H159" s="8" t="inlineStr"/>
      <c r="I159" s="8" t="inlineStr"/>
      <c r="J159" s="10" t="inlineStr"/>
    </row>
    <row r="160">
      <c r="A160" s="5" t="n">
        <v>159</v>
      </c>
      <c r="B160" s="6" t="inlineStr">
        <is>
          <t>8425185</t>
        </is>
      </c>
      <c r="C160" s="7" t="inlineStr">
        <is>
          <t>Wavenumber-dependent dynamic light scattering optical coherence tomography measurements of collective and self-diffusion</t>
        </is>
      </c>
      <c r="D160" s="7" t="inlineStr">
        <is>
          <t>This repository contains raw data and analysis routines of the publication  “ Wavenumber-dependent dynamic light scattering optical coherence tomography measurements of collective and self-diffusion ”  in Optics Express (doi.org/10.1364/OE.521702) .  The reader is free to use the scripts and data in</t>
        </is>
      </c>
      <c r="E160" s="5" t="inlineStr">
        <is>
          <t>.mat, .oct</t>
        </is>
      </c>
      <c r="F160" s="5" t="n">
        <v>24</v>
      </c>
      <c r="G160" s="5" t="n">
        <v>17522.1</v>
      </c>
      <c r="H160" s="5" t="inlineStr"/>
      <c r="I160" s="5" t="inlineStr"/>
      <c r="J160" s="7" t="inlineStr"/>
    </row>
    <row r="161">
      <c r="A161" s="8" t="n">
        <v>160</v>
      </c>
      <c r="B161" s="9" t="inlineStr">
        <is>
          <t>17151869</t>
        </is>
      </c>
      <c r="C161" s="10" t="inlineStr">
        <is>
          <t>SYN-OCT</t>
        </is>
      </c>
      <c r="D161" s="10" t="inlineStr">
        <is>
          <t>The SYN-OCT dataset consists of 200,000 synthetic cross-sectional circumpapillary OCT images, including 100,000 images generated to represent glaucoma eyes and 100,000 images generated to represent healthy eyes. These synthetic images were produced using generative models trained on real OCT scans c</t>
        </is>
      </c>
      <c r="E161" s="8" t="inlineStr">
        <is>
          <t>.zip</t>
        </is>
      </c>
      <c r="F161" s="8" t="n">
        <v>2</v>
      </c>
      <c r="G161" s="8" t="n">
        <v>3104.2</v>
      </c>
      <c r="H161" s="8" t="inlineStr"/>
      <c r="I161" s="8" t="inlineStr"/>
      <c r="J161" s="10" t="inlineStr"/>
    </row>
    <row r="162">
      <c r="A162" s="5" t="n">
        <v>161</v>
      </c>
      <c r="B162" s="6" t="inlineStr">
        <is>
          <t>5576696</t>
        </is>
      </c>
      <c r="C162" s="7" t="inlineStr">
        <is>
          <t>Visual pursuit behavior in mice maintains the pursued prey on the retinal region with least optic flow</t>
        </is>
      </c>
      <c r="D162" s="7" t="inlineStr">
        <is>
          <t>Mice have a large visual field that is constantly stabilized by vestibular ocular reflex (VOR) driven eye rotations that counter head-rotations. While maintaining their extensive visual coverage is advantageous for predator detection, mice also track and capture prey using vision. However, in the fr</t>
        </is>
      </c>
      <c r="E162" s="5" t="inlineStr">
        <is>
          <t>.zip</t>
        </is>
      </c>
      <c r="F162" s="5" t="n">
        <v>5</v>
      </c>
      <c r="G162" s="5" t="n">
        <v>949.4</v>
      </c>
      <c r="H162" s="5" t="inlineStr"/>
      <c r="I162" s="5" t="inlineStr"/>
      <c r="J162" s="7" t="inlineStr"/>
    </row>
    <row r="163">
      <c r="A163" s="8" t="n">
        <v>162</v>
      </c>
      <c r="B163" s="9" t="inlineStr">
        <is>
          <t>17016432</t>
        </is>
      </c>
      <c r="C163" s="10" t="inlineStr">
        <is>
          <t>the central histaminergic system slows visual processing in the retina and lateral geniculate nucleus of awake mice</t>
        </is>
      </c>
      <c r="D163" s="10" t="inlineStr">
        <is>
          <t>This directory contains data sets and codes used in the following paper: 
   Tripodi M. and Asari H. (2025)   Central histaminergic system reduces response gain and slows visual processing    in the retina and lateral geniculate nucleus of awake mice   bioRxiv 2024.09.02.610848 (preprint)   doi: htt</t>
        </is>
      </c>
      <c r="E163" s="8" t="inlineStr">
        <is>
          <t>.zip</t>
        </is>
      </c>
      <c r="F163" s="8" t="n">
        <v>1</v>
      </c>
      <c r="G163" s="8" t="n">
        <v>307.4</v>
      </c>
      <c r="H163" s="8" t="inlineStr"/>
      <c r="I163" s="8" t="inlineStr"/>
      <c r="J163" s="10" t="inlineStr"/>
    </row>
    <row r="164">
      <c r="A164" s="5" t="n">
        <v>163</v>
      </c>
      <c r="B164" s="6" t="inlineStr">
        <is>
          <t>14580071</t>
        </is>
      </c>
      <c r="C164" s="7" t="inlineStr">
        <is>
          <t>OCTAVE Dataset: Optical Coherence Tomography Annotated Volume Experiment</t>
        </is>
      </c>
      <c r="D164" s="7" t="inlineStr">
        <is>
          <t xml:space="preserve">This is a large dataset of OCT 3D image volumes and pixel-level segmentation labels for the development of an deep learning model to autonomously detect and identify anatomic and pathological features of the retina. 
 This project was described in the paper: 
  “Identifying Retinal Features Using a </t>
        </is>
      </c>
      <c r="E164" s="5" t="inlineStr">
        <is>
          <t>.zip</t>
        </is>
      </c>
      <c r="F164" s="5" t="n">
        <v>1</v>
      </c>
      <c r="G164" s="5" t="n">
        <v>1150.4</v>
      </c>
      <c r="H164" s="5" t="inlineStr"/>
      <c r="I164" s="5" t="inlineStr"/>
      <c r="J164" s="7" t="inlineStr"/>
    </row>
    <row r="165">
      <c r="A165" s="8" t="n">
        <v>164</v>
      </c>
      <c r="B165" s="9" t="inlineStr">
        <is>
          <t>6325549</t>
        </is>
      </c>
      <c r="C165" s="10" t="inlineStr">
        <is>
          <t>RIGA+ Dataset for Unsupervised Domain Adaptation in Medical Image Segmentation</t>
        </is>
      </c>
      <c r="D165" s="10" t="inlineStr">
        <is>
          <t>Different from the previous combined multi-domain dataset for unsupervised domain adaptation (UDA) in medical image segmentation, this multi-domain fundus image dataset contains annotations made by the same group of ophthalmologists. Hence the annotator bias among different datasets can be mitigated</t>
        </is>
      </c>
      <c r="E165" s="8" t="inlineStr">
        <is>
          <t>.zip</t>
        </is>
      </c>
      <c r="F165" s="8" t="n">
        <v>1</v>
      </c>
      <c r="G165" s="8" t="n">
        <v>1028.1</v>
      </c>
      <c r="H165" s="8" t="inlineStr"/>
      <c r="I165" s="8" t="inlineStr"/>
      <c r="J165" s="10" t="inlineStr"/>
    </row>
    <row r="166">
      <c r="A166" s="5" t="n">
        <v>165</v>
      </c>
      <c r="B166" s="6" t="inlineStr">
        <is>
          <t>7105232</t>
        </is>
      </c>
      <c r="C166" s="7" t="inlineStr">
        <is>
          <t>OLIVES Dataset: Ophthalmic Labels for Investigating Visual Eye Semantics</t>
        </is>
      </c>
      <c r="D166" s="7" t="inlineStr">
        <is>
          <t>Clinical diagnosis of the eye is performed over multifarious data modalities including scalar clinical labels, vectorized biomarkers, two-dimensional fundus images, and three-dimensional Optical Coherence Tomography (OCT) scans. While the clinical labels, fundus images and OCT scans are instrumental</t>
        </is>
      </c>
      <c r="E166" s="5" t="inlineStr">
        <is>
          <t>.zip</t>
        </is>
      </c>
      <c r="F166" s="5" t="n">
        <v>2</v>
      </c>
      <c r="G166" s="5" t="n">
        <v>32348.2</v>
      </c>
      <c r="H166" s="5" t="inlineStr"/>
      <c r="I166" s="5" t="inlineStr"/>
      <c r="J166" s="7" t="inlineStr"/>
    </row>
    <row r="167">
      <c r="A167" s="8" t="n">
        <v>166</v>
      </c>
      <c r="B167" s="9" t="inlineStr">
        <is>
          <t>4521044</t>
        </is>
      </c>
      <c r="C167" s="10" t="inlineStr">
        <is>
          <t>Topological characterization of the Retinal microvascular nEtwork visualized by portable fuNDus camera (TREND) database</t>
        </is>
      </c>
      <c r="D167" s="10" t="inlineStr">
        <is>
          <t>Introduction  
  T opological characterization of the  R etinal microvascular n E twork visualized by portable fu ND us camera ( TREND ) is a database of digital color eye fundus images created by medical professionals of the Faculty of Medicine of the University of Montenegro in 2020. 
  Pur</t>
        </is>
      </c>
      <c r="E167" s="8" t="inlineStr">
        <is>
          <t>.zip</t>
        </is>
      </c>
      <c r="F167" s="8" t="n">
        <v>8</v>
      </c>
      <c r="G167" s="8" t="n">
        <v>361.9</v>
      </c>
      <c r="H167" s="8" t="inlineStr"/>
      <c r="I167" s="8" t="inlineStr"/>
      <c r="J167" s="10" t="inlineStr"/>
    </row>
    <row r="168">
      <c r="A168" s="5" t="n">
        <v>167</v>
      </c>
      <c r="B168" s="6" t="inlineStr">
        <is>
          <t>8213427</t>
        </is>
      </c>
      <c r="C168" s="7" t="inlineStr">
        <is>
          <t>Doodleverse/CoastSeg Segformer models for 4-class (water, whitewater, sediment and other) segmentation of Sentinel-2 and</t>
        </is>
      </c>
      <c r="D168" s="7" t="inlineStr">
        <is>
          <t>Doodleverse/CoastSeg Segformer models for 4-class (water, whitewater, sediment and other) segmentation of Sentinel-2 and Landsat-7/8 NDWI images of coasts.  
 Models have been created using Segmentation Gym* using the following datasets ** https://zenodo.org/record/7384263 and ***: https://doi.org/</t>
        </is>
      </c>
      <c r="E168" s="5" t="inlineStr">
        <is>
          <t>.h5, .npz, .png</t>
        </is>
      </c>
      <c r="F168" s="5" t="n">
        <v>23</v>
      </c>
      <c r="G168" s="5" t="n">
        <v>44</v>
      </c>
      <c r="H168" s="5" t="inlineStr"/>
      <c r="I168" s="5" t="inlineStr"/>
      <c r="J168" s="7" t="inlineStr"/>
    </row>
    <row r="169">
      <c r="A169" s="8" t="n">
        <v>168</v>
      </c>
      <c r="B169" s="9" t="inlineStr">
        <is>
          <t>4944325</t>
        </is>
      </c>
      <c r="C169" s="10" t="inlineStr">
        <is>
          <t>Data from: Epistatic interactions influence terrestrial-marine functional shifts in cetacean rhodopsin</t>
        </is>
      </c>
      <c r="D169" s="10" t="inlineStr">
        <is>
          <t>Like many aquatic vertebrates, whales have blue-shifting spectral tuning substitutions in the dim-light visual pigment, rhodopsin, that are thought to increase photosensitivity in underwater environments. We have discovered that known spectral tuning substitutions also have surprising epistatic effe</t>
        </is>
      </c>
      <c r="E169" s="8" t="inlineStr">
        <is>
          <t>.zip</t>
        </is>
      </c>
      <c r="F169" s="8" t="n">
        <v>1</v>
      </c>
      <c r="G169" s="8" t="n">
        <v>0.4</v>
      </c>
      <c r="H169" s="8" t="inlineStr"/>
      <c r="I169" s="8" t="inlineStr"/>
      <c r="J169" s="10" t="inlineStr"/>
    </row>
    <row r="170">
      <c r="A170" s="5" t="n">
        <v>169</v>
      </c>
      <c r="B170" s="6" t="inlineStr">
        <is>
          <t>15705573</t>
        </is>
      </c>
      <c r="C170" s="7" t="inlineStr">
        <is>
          <t>Synchrotron nanoprobe X-ray fluorescence elemental maps of adult mouse retina.</t>
        </is>
      </c>
      <c r="D170" s="7" t="inlineStr">
        <is>
          <t>This repository contains processed data from an experiment performed on beamline ID16B, ESRF, under proposal number LS-2443. 
 The data held here are associated with the following publication, which is currently under review by Scientific Reports:  
 “Nanoprobe synchrotron X-ray fluorescence microsc</t>
        </is>
      </c>
      <c r="E170" s="5" t="inlineStr">
        <is>
          <t>.zip</t>
        </is>
      </c>
      <c r="F170" s="5" t="n">
        <v>1</v>
      </c>
      <c r="G170" s="5" t="n">
        <v>11.9</v>
      </c>
      <c r="H170" s="5" t="inlineStr"/>
      <c r="I170" s="5" t="inlineStr"/>
      <c r="J170" s="7" t="inlineStr"/>
    </row>
    <row r="171">
      <c r="A171" s="8" t="n">
        <v>170</v>
      </c>
      <c r="B171" s="9" t="inlineStr">
        <is>
          <t>4138957</t>
        </is>
      </c>
      <c r="C171" s="10" t="inlineStr">
        <is>
          <t>Deep-tissue label-free quantitative optical tomography</t>
        </is>
      </c>
      <c r="D171" s="10" t="inlineStr">
        <is>
          <t>Deep-tissue label-free quantitative optical tomography 
 Jelle van der Horst, Anna K. Trull, and Jeroen Kalkman 
 The data sets, software, and figures accompany the publication: 
 "Deep-tissue label-free quantitative optical tomography", Optica 7, 1682 (2020)   https://doi.org/10.1364/OPTICA.3975</t>
        </is>
      </c>
      <c r="E171" s="8" t="inlineStr">
        <is>
          <t>.zip</t>
        </is>
      </c>
      <c r="F171" s="8" t="n">
        <v>11</v>
      </c>
      <c r="G171" s="8" t="n">
        <v>560.8</v>
      </c>
      <c r="H171" s="8" t="inlineStr"/>
      <c r="I171" s="8" t="inlineStr"/>
      <c r="J171" s="10" t="inlineStr"/>
    </row>
    <row r="172">
      <c r="A172" s="5" t="n">
        <v>171</v>
      </c>
      <c r="B172" s="6" t="inlineStr">
        <is>
          <t>3813684</t>
        </is>
      </c>
      <c r="C172" s="7" t="inlineStr">
        <is>
          <t>Data to "Point-wise correlations between 10-2 Humphrey visual field and OCT data in open angle glaucoma"</t>
        </is>
      </c>
      <c r="D172" s="7" t="inlineStr">
        <is>
          <t>This record contains experimental and analysis scripts (written in Matlab) as well as raw and processed data to reproduce the results shown in: 
 Cirafici, P., Maiello, G., Ancona, C., Masala, A., Traverso, C.E., &amp; Iester M. (in press) Point-wise correlations between Humphrey visual field and OCT d</t>
        </is>
      </c>
      <c r="E172" s="5" t="inlineStr">
        <is>
          <t>.zip</t>
        </is>
      </c>
      <c r="F172" s="5" t="n">
        <v>1</v>
      </c>
      <c r="G172" s="5" t="n">
        <v>2</v>
      </c>
      <c r="H172" s="5" t="inlineStr"/>
      <c r="I172" s="5" t="inlineStr"/>
      <c r="J172" s="7" t="inlineStr"/>
    </row>
    <row r="173">
      <c r="A173" s="8" t="n">
        <v>172</v>
      </c>
      <c r="B173" s="9" t="inlineStr">
        <is>
          <t>7651665</t>
        </is>
      </c>
      <c r="C173" s="10" t="inlineStr">
        <is>
          <t>SuperDARN Grid data in netCDF format (2005-Oct)</t>
        </is>
      </c>
      <c r="D173" s="10" t="inlineStr">
        <is>
          <t>2005-Oct SuperDARN radar data in netCDF format. These files were produced using versions 3.0 of the public FitACF and make_grid algorithms, using the AACGM v2 coordinate system. Cite this dataset if using our data in a publication.  The RST is available here: https://github.com/SuperDARN/rst  The re</t>
        </is>
      </c>
      <c r="E173" s="8" t="inlineStr"/>
      <c r="F173" s="8" t="n">
        <v>478</v>
      </c>
      <c r="G173" s="8" t="n">
        <v>237.1</v>
      </c>
      <c r="H173" s="8" t="inlineStr"/>
      <c r="I173" s="8" t="inlineStr"/>
      <c r="J173" s="10" t="inlineStr"/>
    </row>
    <row r="174">
      <c r="A174" s="5" t="n">
        <v>173</v>
      </c>
      <c r="B174" s="6" t="inlineStr">
        <is>
          <t>10258100</t>
        </is>
      </c>
      <c r="C174" s="7" t="inlineStr">
        <is>
          <t>Probabilistic volumetric speckle suppression in OCT using deep learning: Dataset</t>
        </is>
      </c>
      <c r="D174" s="7" t="inlineStr">
        <is>
          <t>This file contains a retinal OCT intensity volume as a demo dataset to generate volumetric speckle-suppressed training data using our non-local-means despeckling (TNode) script and four OCT intensity volumes and their corresponding TNode-processed intensity volumes of different tissue samples to tra</t>
        </is>
      </c>
      <c r="E174" s="5" t="inlineStr">
        <is>
          <t>.zip</t>
        </is>
      </c>
      <c r="F174" s="5" t="n">
        <v>1</v>
      </c>
      <c r="G174" s="5" t="n">
        <v>7797.6</v>
      </c>
      <c r="H174" s="5" t="inlineStr"/>
      <c r="I174" s="5" t="inlineStr"/>
      <c r="J174" s="7" t="inlineStr"/>
    </row>
    <row r="175">
      <c r="A175" s="8" t="n">
        <v>174</v>
      </c>
      <c r="B175" s="9" t="inlineStr">
        <is>
          <t>6332896</t>
        </is>
      </c>
      <c r="C175" s="10" t="inlineStr">
        <is>
          <t>Efficient embryoid-based method to improve generation of optic vesicles from human induced pluripotent stem cells data</t>
        </is>
      </c>
      <c r="D175" s="10" t="inlineStr">
        <is>
          <t>Animal models have provided many insights into ocular development and disease, but they remain suboptimal for understanding human oculogenesis. Eye development requires spatiotemporal gene expression patterns and disease phenotypes can differ significantly between humans and animal models, with pati</t>
        </is>
      </c>
      <c r="E175" s="8" t="inlineStr">
        <is>
          <t>.jpg</t>
        </is>
      </c>
      <c r="F175" s="8" t="n">
        <v>60</v>
      </c>
      <c r="G175" s="8" t="n">
        <v>7.1</v>
      </c>
      <c r="H175" s="8" t="inlineStr"/>
      <c r="I175" s="8" t="inlineStr"/>
      <c r="J175" s="10" t="inlineStr"/>
    </row>
    <row r="176">
      <c r="A176" s="5" t="n">
        <v>175</v>
      </c>
      <c r="B176" s="6" t="inlineStr">
        <is>
          <t>14753987</t>
        </is>
      </c>
      <c r="C176" s="7" t="inlineStr">
        <is>
          <t>Metabolomics of ocular hypertensive rat optic nerve (with/without nicotinamide treatment) (Cimaglia, 2024)</t>
        </is>
      </c>
      <c r="D176" s="7" t="inlineStr">
        <is>
          <t>Raw metabolomics datasets from: 
 Cimaglia G, Tribble JR, Votruba M, Williams PA, Morgan JE. Oral nicotinamide provides robust, dose-dependent structural and metabolic neuroprotection of retinal ganglion cells in experimental glaucoma. Acta Neuropathol Commun. 2024 Aug 23;12(1):137. doi: 10.1186/s40</t>
        </is>
      </c>
      <c r="E176" s="5" t="inlineStr">
        <is>
          <t>.zip</t>
        </is>
      </c>
      <c r="F176" s="5" t="n">
        <v>3</v>
      </c>
      <c r="G176" s="5" t="n">
        <v>19509.1</v>
      </c>
      <c r="H176" s="5" t="inlineStr"/>
      <c r="I176" s="5" t="inlineStr"/>
      <c r="J176" s="7" t="inlineStr"/>
    </row>
    <row r="177">
      <c r="A177" s="8" t="n">
        <v>176</v>
      </c>
      <c r="B177" s="9" t="inlineStr">
        <is>
          <t>10155516</t>
        </is>
      </c>
      <c r="C177" s="10" t="inlineStr">
        <is>
          <t>Code and Source Data for "Knowledge-Guided Machine Learning can improve C cycle quantification in agroecosystems"</t>
        </is>
      </c>
      <c r="D177" s="10" t="inlineStr">
        <is>
          <t>Datasets for code and Source Data for the study "Knowledge-Guided Machine Learning can improve C cycle quantification in agroecosystems" https://doi.org/10.1038/s41467-023-43860-5. All files belong to Licheng Liu and Zhenong Jin at University of Minnesota. deposit_code_v2.zip contains packaged codes</t>
        </is>
      </c>
      <c r="E177" s="8" t="inlineStr">
        <is>
          <t>.zip</t>
        </is>
      </c>
      <c r="F177" s="8" t="n">
        <v>2</v>
      </c>
      <c r="G177" s="8" t="n">
        <v>2729.5</v>
      </c>
      <c r="H177" s="8" t="inlineStr"/>
      <c r="I177" s="8" t="inlineStr"/>
      <c r="J177" s="10" t="inlineStr"/>
    </row>
    <row r="178">
      <c r="A178" s="5" t="n">
        <v>177</v>
      </c>
      <c r="B178" s="6" t="inlineStr">
        <is>
          <t>7330382</t>
        </is>
      </c>
      <c r="C178" s="7" t="inlineStr">
        <is>
          <t>Vaximap's home vaccination dataset (October 2022)</t>
        </is>
      </c>
      <c r="D178" s="7" t="inlineStr">
        <is>
          <t>Dataset used in preparation for the publication "Vaximap: route optimisation for housebound vaccination", Nature Digital Health, 2022. DOI: 10.1038/s41746-022-00726-2.  Please reference this publication when using this dataset.   
 This dataset comprises requests made to the Vaximap service between</t>
        </is>
      </c>
      <c r="E178" s="5" t="inlineStr">
        <is>
          <t>.zip</t>
        </is>
      </c>
      <c r="F178" s="5" t="n">
        <v>1</v>
      </c>
      <c r="G178" s="5" t="n">
        <v>3.8</v>
      </c>
      <c r="H178" s="5" t="inlineStr"/>
      <c r="I178" s="5" t="inlineStr"/>
      <c r="J178" s="7" t="inlineStr"/>
    </row>
    <row r="179">
      <c r="A179" s="8" t="n">
        <v>178</v>
      </c>
      <c r="B179" s="9" t="inlineStr">
        <is>
          <t>4304781</t>
        </is>
      </c>
      <c r="C179" s="10" t="inlineStr">
        <is>
          <t>High Resolution Fundus Image Database for Monomodal Single-Channel Image Registration of Thin Features</t>
        </is>
      </c>
      <c r="D179" s="10" t="inlineStr">
        <is>
          <t>A high resolution image database of 42 image pairs (related by elastic deformations) created from original images from the High Resolution Fundus Image Database. 
Consists of thin linear structures that lack sufficient overlap to pose a challenge for classic similarity measures based on overlappin</t>
        </is>
      </c>
      <c r="E179" s="8" t="inlineStr">
        <is>
          <t>.zip</t>
        </is>
      </c>
      <c r="F179" s="8" t="n">
        <v>2</v>
      </c>
      <c r="G179" s="8" t="n">
        <v>314.9</v>
      </c>
      <c r="H179" s="8" t="inlineStr"/>
      <c r="I179" s="8" t="inlineStr"/>
      <c r="J179" s="10" t="inlineStr"/>
    </row>
    <row r="180">
      <c r="A180" s="5" t="n">
        <v>179</v>
      </c>
      <c r="B180" s="6" t="inlineStr">
        <is>
          <t>7516807</t>
        </is>
      </c>
      <c r="C180" s="7" t="inlineStr">
        <is>
          <t>Amacrine cells differentially balance zebrafish colour circuits in the central and peripheral retina</t>
        </is>
      </c>
      <c r="D180" s="7" t="inlineStr">
        <is>
          <t>In vertebrate vision, the feature-extracting circuits of the inner retina are driven by photoreceptors whose outputs are already pre-processed. In zebrafish, for example, outer retinal circuits split "colour" from "greyscale" information across all four cone-photoreceptor types. How does the inner r</t>
        </is>
      </c>
      <c r="E180" s="5" t="inlineStr">
        <is>
          <t>.h5</t>
        </is>
      </c>
      <c r="F180" s="5" t="n">
        <v>5</v>
      </c>
      <c r="G180" s="5" t="n">
        <v>1525</v>
      </c>
      <c r="H180" s="5" t="inlineStr"/>
      <c r="I180" s="5" t="inlineStr"/>
      <c r="J180" s="7" t="inlineStr"/>
    </row>
    <row r="181">
      <c r="A181" s="8" t="n">
        <v>180</v>
      </c>
      <c r="B181" s="9" t="inlineStr">
        <is>
          <t>7566810</t>
        </is>
      </c>
      <c r="C181" s="10" t="inlineStr">
        <is>
          <t>Doodleverse/Segmentation Zoo/Seg2Map Res-UNet models for FloodNet/10-class segmentation of RGB 768x512 UAV images</t>
        </is>
      </c>
      <c r="D181" s="10" t="inlineStr">
        <is>
          <t>Doodleverse/Segmentation Zoo/Seg2Map Res-UNet models for FloodNet/10-class segmentation of RGB 768x512 UAV images   
 These Residual-UNet model data are based on [FloodNet](https://github.com/BinaLab/FloodNet-Challenge-EARTHVISION2021) images and associated labels. 
 Models have been created using</t>
        </is>
      </c>
      <c r="E181" s="8" t="inlineStr">
        <is>
          <t>.h5, .npz, .png, .zip</t>
        </is>
      </c>
      <c r="F181" s="8" t="n">
        <v>74</v>
      </c>
      <c r="G181" s="8" t="n">
        <v>952.8</v>
      </c>
      <c r="H181" s="8" t="inlineStr"/>
      <c r="I181" s="8" t="inlineStr"/>
      <c r="J181" s="10" t="inlineStr"/>
    </row>
    <row r="182">
      <c r="A182" s="5" t="n">
        <v>181</v>
      </c>
      <c r="B182" s="6" t="inlineStr">
        <is>
          <t>8102229</t>
        </is>
      </c>
      <c r="C182" s="7" t="inlineStr">
        <is>
          <t>Gene regulatory networks controlling vertebrate retinal regeneration</t>
        </is>
      </c>
      <c r="D182" s="7" t="inlineStr">
        <is>
          <t>For the remaining split tarballs 2,3,5-9, please see below for each:  
 https://westus.dl.azure.dnanex.us/F/D/XPFkPpYk76kVy7qqvGVx6VjF4KfzGYG4GpvZj3x0/NorteDame_data2.tar.gz 
 https://westus.dl.azure.dnanex.us/F/D/jP1YK0vF96JVG7Bf2F8B9BZ50QY45zQ4pV02XPg6/NorteDame_data3.tar.gz 
 https://westus.dl</t>
        </is>
      </c>
      <c r="E182" s="5" t="inlineStr">
        <is>
          <t>.tar.gz</t>
        </is>
      </c>
      <c r="F182" s="5" t="n">
        <v>3</v>
      </c>
      <c r="G182" s="5" t="n">
        <v>1311.8</v>
      </c>
      <c r="H182" s="5" t="inlineStr"/>
      <c r="I182" s="5" t="inlineStr"/>
      <c r="J182" s="7" t="inlineStr"/>
    </row>
    <row r="183">
      <c r="A183" s="8" t="n">
        <v>182</v>
      </c>
      <c r="B183" s="9" t="inlineStr">
        <is>
          <t>15718305</t>
        </is>
      </c>
      <c r="C183" s="10" t="inlineStr">
        <is>
          <t>Data from the article "DTL-IceNet: A Dual-Task Learning Architecture with Multi-Scale Fusion Mechanisms for Enhanced Ice</t>
        </is>
      </c>
      <c r="D183" s="10" t="inlineStr">
        <is>
          <t xml:space="preserve">Description of the data and file structure 
 example_icing_images: This dataset contains images of transmission line icing of various types, used for ice layer recognition and thickness detection tasks. 
 Ice_code: The above code is a semantic segmentation model based on the ground truth image of </t>
        </is>
      </c>
      <c r="E183" s="8" t="inlineStr">
        <is>
          <t>.zip</t>
        </is>
      </c>
      <c r="F183" s="8" t="n">
        <v>2</v>
      </c>
      <c r="G183" s="8" t="n">
        <v>125</v>
      </c>
      <c r="H183" s="8" t="inlineStr"/>
      <c r="I183" s="8" t="inlineStr"/>
      <c r="J183" s="10" t="inlineStr"/>
    </row>
    <row r="184">
      <c r="A184" s="5" t="n">
        <v>183</v>
      </c>
      <c r="B184" s="6" t="inlineStr">
        <is>
          <t>7613212</t>
        </is>
      </c>
      <c r="C184" s="7" t="inlineStr">
        <is>
          <t>Doodleverse/Segmentation Zoo/Seg2Map SegFormer models for segmentation of xBD/buildings in RGB 768x768 high-res. images</t>
        </is>
      </c>
      <c r="D184" s="7" t="inlineStr">
        <is>
          <t>Doodleverse/Segmentation Zoo/Seg2Map SegFormer models for segmentation of xBD/buildings in RGB 768x768 high-res. images   
 Models have been created using Segmentation Gym* using the following dataset**: https://arxiv.org/abs/1911.09296 
 These   SegFormer   model data are based on 1m spatial foot</t>
        </is>
      </c>
      <c r="E184" s="5" t="inlineStr">
        <is>
          <t>.h5, .npz, .png</t>
        </is>
      </c>
      <c r="F184" s="5" t="n">
        <v>23</v>
      </c>
      <c r="G184" s="5" t="n">
        <v>58.1</v>
      </c>
      <c r="H184" s="5" t="inlineStr"/>
      <c r="I184" s="5" t="inlineStr"/>
      <c r="J184" s="7" t="inlineStr"/>
    </row>
    <row r="185">
      <c r="A185" s="8" t="n">
        <v>184</v>
      </c>
      <c r="B185" s="9" t="inlineStr">
        <is>
          <t>4891308</t>
        </is>
      </c>
      <c r="C185" s="10" t="inlineStr">
        <is>
          <t>Dataset from fundus images for the study of diabetic retinopathy</t>
        </is>
      </c>
      <c r="D185" s="10" t="inlineStr">
        <is>
          <t>This database containing 1437 color fundus images that were acquired at the Department of Ophthalmology of the Hospital de Clínicas, Facultad de Ciencias Médicas, Universidad Nacional de Asunción, Paraguay. 
 The acquisition of retinal images was done taking into account a clinical procedure. The a</t>
        </is>
      </c>
      <c r="E185" s="8" t="inlineStr">
        <is>
          <t>.zip</t>
        </is>
      </c>
      <c r="F185" s="8" t="n">
        <v>1</v>
      </c>
      <c r="G185" s="8" t="n">
        <v>1453</v>
      </c>
      <c r="H185" s="8" t="inlineStr"/>
      <c r="I185" s="8" t="inlineStr"/>
      <c r="J185" s="10" t="inlineStr"/>
    </row>
    <row r="186">
      <c r="A186" s="5" t="n">
        <v>185</v>
      </c>
      <c r="B186" s="6" t="inlineStr">
        <is>
          <t>6425084</t>
        </is>
      </c>
      <c r="C186" s="7" t="inlineStr">
        <is>
          <t>Scanning dynamic light scattering optical coherence tomography for measurement of high omnidirectional flow velocities</t>
        </is>
      </c>
      <c r="D186" s="7" t="inlineStr">
        <is>
          <t>This repository contains raw data and analysis routines of the publication  “ Scanning dynamic light scattering optical coherence tomography for measurement of high omnidirectional flow velocities ”  in Optics Express ( doi.org/10.1364/OE.456139  ).  The reader is free to use the scripts and data in</t>
        </is>
      </c>
      <c r="E186" s="5" t="inlineStr">
        <is>
          <t>.zip</t>
        </is>
      </c>
      <c r="F186" s="5" t="n">
        <v>16</v>
      </c>
      <c r="G186" s="5" t="n">
        <v>34506.4</v>
      </c>
      <c r="H186" s="5" t="inlineStr"/>
      <c r="I186" s="5" t="inlineStr"/>
      <c r="J186" s="7" t="inlineStr"/>
    </row>
    <row r="187">
      <c r="A187" s="8" t="n">
        <v>186</v>
      </c>
      <c r="B187" s="9" t="inlineStr">
        <is>
          <t>12659652</t>
        </is>
      </c>
      <c r="C187" s="10" t="inlineStr">
        <is>
          <t>Evaluation benchmark for natural robustness evaluation of retinal vessel segmentation models</t>
        </is>
      </c>
      <c r="D187" s="10" t="inlineStr">
        <is>
          <t>A dataset contains benchmark images for natural robustness evaluation of deep learning models for retinal vessel segmentation. The dataset consists of three mainstream retinal vessel segmentation datasets: DRIVE, STARE, and CHASE_DB1. 
 For each dataset are provided: 
  images  - directory contain</t>
        </is>
      </c>
      <c r="E187" s="8" t="inlineStr">
        <is>
          <t>.zip</t>
        </is>
      </c>
      <c r="F187" s="8" t="n">
        <v>3</v>
      </c>
      <c r="G187" s="8" t="n">
        <v>7774.8</v>
      </c>
      <c r="H187" s="8" t="inlineStr"/>
      <c r="I187" s="8" t="inlineStr"/>
      <c r="J187" s="10" t="inlineStr"/>
    </row>
    <row r="188">
      <c r="A188" s="5" t="n">
        <v>187</v>
      </c>
      <c r="B188" s="6" t="inlineStr">
        <is>
          <t>7974096</t>
        </is>
      </c>
      <c r="C188" s="7" t="inlineStr">
        <is>
          <t>Mammalian animal &amp; human retinal organ culture as pre-clinical model to evaluate oxidative stress and antioxidant intrao</t>
        </is>
      </c>
      <c r="D188" s="7" t="inlineStr">
        <is>
          <t>Oxidative stress (OS) is involved in the pathogenesis of retinal neurodegenerative diseases like age-related macular degeneration (AMD) and diabetic retinopathy (DR) and an important target of therapeutic treatments. New therapeutics are tested in vivo despite limits in transferability and ethical c</t>
        </is>
      </c>
      <c r="E188" s="5" t="inlineStr">
        <is>
          <t>.jpg, .zip</t>
        </is>
      </c>
      <c r="F188" s="5" t="n">
        <v>27</v>
      </c>
      <c r="G188" s="5" t="n">
        <v>5831.9</v>
      </c>
      <c r="H188" s="5" t="inlineStr"/>
      <c r="I188" s="5" t="inlineStr"/>
      <c r="J188" s="7" t="inlineStr"/>
    </row>
    <row r="189">
      <c r="A189" s="8" t="n">
        <v>188</v>
      </c>
      <c r="B189" s="9" t="inlineStr">
        <is>
          <t>6207299</t>
        </is>
      </c>
      <c r="C189" s="10" t="inlineStr">
        <is>
          <t>Datasets for neuronal imaging, extracellular recordings and behavioral rig code</t>
        </is>
      </c>
      <c r="D189" s="10" t="inlineStr">
        <is>
          <t>Rod and cone photoreceptors degenerate in retinitis pigmentosa (RP). While downstream neurons survive, they undergo physiological changes, including accelerated spontaneous firing in retinal ganglion cells (RGCs). Retinoic acid (RA) is the molecular trigger of RGC hyperactivity, but whether this int</t>
        </is>
      </c>
      <c r="E189" s="8" t="inlineStr">
        <is>
          <t>.zip</t>
        </is>
      </c>
      <c r="F189" s="8" t="n">
        <v>2</v>
      </c>
      <c r="G189" s="8" t="n">
        <v>1669.8</v>
      </c>
      <c r="H189" s="8" t="inlineStr"/>
      <c r="I189" s="8" t="inlineStr"/>
      <c r="J189" s="10" t="inlineStr"/>
    </row>
    <row r="190">
      <c r="A190" s="5" t="n">
        <v>189</v>
      </c>
      <c r="B190" s="6" t="inlineStr">
        <is>
          <t>7631354</t>
        </is>
      </c>
      <c r="C190" s="7" t="inlineStr">
        <is>
          <t>Doodleverse/Segmentation Zoo Res-UNet model for NOAA ERI/4-class segmentation of RGB 512x512 images</t>
        </is>
      </c>
      <c r="D190" s="7" t="inlineStr">
        <is>
          <t>This Residual-UNet model is trained on 1,179 pairs of human-generated segmentation labels and images from Emergency Response Imagery (ERI) collected by US National Oceanic and Atmospheric Administration (NOAA) after Hurricane Barry, Delta, Dorian, Florence, Ida, Laura, Michael, Sally, Zeta, and Trop</t>
        </is>
      </c>
      <c r="E190" s="5" t="inlineStr">
        <is>
          <t>.h5, .npz, .png, .zip</t>
        </is>
      </c>
      <c r="F190" s="5" t="n">
        <v>7</v>
      </c>
      <c r="G190" s="5" t="n">
        <v>86.90000000000001</v>
      </c>
      <c r="H190" s="5" t="inlineStr"/>
      <c r="I190" s="5" t="inlineStr"/>
      <c r="J190" s="7" t="inlineStr"/>
    </row>
    <row r="191">
      <c r="A191" s="8" t="n">
        <v>190</v>
      </c>
      <c r="B191" s="9" t="inlineStr">
        <is>
          <t>3708064</t>
        </is>
      </c>
      <c r="C191" s="10" t="inlineStr">
        <is>
          <t>Type-specific dendritic integration in mouse retinal ganglion cells</t>
        </is>
      </c>
      <c r="D191" s="10" t="inlineStr">
        <is>
          <t>Dataset for  Ran et al (2020) . These data can be read by Python (&gt;3.6) and Pandas (&gt;1.0.0): 
  import pickle
data = pickle.load(open('./data_raw.pickle', 'rb'))
 Or use our custom scripts. For more details, see  https://github.com/berenslab/rgc_dendrites .</t>
        </is>
      </c>
      <c r="E191" s="8" t="inlineStr"/>
      <c r="F191" s="8" t="n">
        <v>6</v>
      </c>
      <c r="G191" s="8" t="n">
        <v>308.3</v>
      </c>
      <c r="H191" s="8" t="inlineStr"/>
      <c r="I191" s="8" t="inlineStr"/>
      <c r="J191" s="10" t="inlineStr"/>
    </row>
    <row r="192">
      <c r="A192" s="5" t="n">
        <v>191</v>
      </c>
      <c r="B192" s="6" t="inlineStr">
        <is>
          <t>15124161</t>
        </is>
      </c>
      <c r="C192" s="7" t="inlineStr">
        <is>
          <t>Perspectives and Limitations of Mesenchymal Stem Cell-Based Therapy for Corneal Injuries and Retinal Diseases</t>
        </is>
      </c>
      <c r="D192" s="7" t="inlineStr">
        <is>
          <t>The eye represents a highly specialized organ, with its main function being to convert light signals into electrical impulses. Any damage or disease of the eye induces a local inflammatory reaction that could be harmful for the specialized ocular cells. Therefore, the eye developed several immunoreg</t>
        </is>
      </c>
      <c r="E192" s="5" t="inlineStr">
        <is>
          <t>.jpg</t>
        </is>
      </c>
      <c r="F192" s="5" t="n">
        <v>6</v>
      </c>
      <c r="G192" s="5" t="n">
        <v>0.5</v>
      </c>
      <c r="H192" s="5" t="inlineStr"/>
      <c r="I192" s="5" t="inlineStr"/>
      <c r="J192" s="7" t="inlineStr"/>
    </row>
    <row r="193">
      <c r="A193" s="8" t="n">
        <v>192</v>
      </c>
      <c r="B193" s="9" t="inlineStr">
        <is>
          <t>1316912</t>
        </is>
      </c>
      <c r="C193" s="10" t="inlineStr">
        <is>
          <t>Matejcic et al. 2018 data release</t>
        </is>
      </c>
      <c r="D193" s="10" t="inlineStr">
        <is>
          <t>Dataset and scripts from study Matejčić et al. 2018. PLoS Biology, on isotropic growth of the embryonic zebrafish retinal tissue.</t>
        </is>
      </c>
      <c r="E193" s="8" t="inlineStr">
        <is>
          <t>.zip</t>
        </is>
      </c>
      <c r="F193" s="8" t="n">
        <v>2</v>
      </c>
      <c r="G193" s="8" t="n">
        <v>1.2</v>
      </c>
      <c r="H193" s="8" t="inlineStr"/>
      <c r="I193" s="8" t="inlineStr"/>
      <c r="J193" s="10" t="inlineStr"/>
    </row>
    <row r="194">
      <c r="A194" s="5" t="n">
        <v>193</v>
      </c>
      <c r="B194" s="6" t="inlineStr">
        <is>
          <t>4935639</t>
        </is>
      </c>
      <c r="C194" s="7" t="inlineStr">
        <is>
          <t>A practical approach to functional optical coherence tomography shows abnormal retinal responses in Alzheimer's disease</t>
        </is>
      </c>
      <c r="D194" s="7" t="inlineStr">
        <is>
          <t>Spectral-domain optical coherence tomography (SD-OCT) is an accessible clinical tool for measuring structural changes to the retina, and increasingly as a biomarker for brain-predominant neurodegenerative diseases like Alzheimer's. Information about retinal function can also be extracted from OCT im</t>
        </is>
      </c>
      <c r="E194" s="5" t="inlineStr">
        <is>
          <t>.rar</t>
        </is>
      </c>
      <c r="F194" s="5" t="n">
        <v>1</v>
      </c>
      <c r="G194" s="5" t="n">
        <v>804.4</v>
      </c>
      <c r="H194" s="5" t="inlineStr"/>
      <c r="I194" s="5" t="inlineStr"/>
      <c r="J194" s="7" t="inlineStr"/>
    </row>
    <row r="195">
      <c r="A195" s="8" t="n">
        <v>194</v>
      </c>
      <c r="B195" s="9" t="inlineStr">
        <is>
          <t>7651394</t>
        </is>
      </c>
      <c r="C195" s="10" t="inlineStr">
        <is>
          <t>SuperDARN Grid data in netCDF format (2008-Oct)</t>
        </is>
      </c>
      <c r="D195" s="10" t="inlineStr">
        <is>
          <t>2008-Oct SuperDARN radar data in netCDF format. These files were produced using versions 3.0 of the public FitACF and make_grid algorithms, using the AACGM v2 coordinate system. Cite this dataset if using our data in a publication.  The RST is available here: https://github.com/SuperDARN/rst  The re</t>
        </is>
      </c>
      <c r="E195" s="8" t="inlineStr"/>
      <c r="F195" s="8" t="n">
        <v>511</v>
      </c>
      <c r="G195" s="8" t="n">
        <v>272.9</v>
      </c>
      <c r="H195" s="8" t="inlineStr"/>
      <c r="I195" s="8" t="inlineStr"/>
      <c r="J195" s="10" t="inlineStr"/>
    </row>
    <row r="196">
      <c r="A196" s="5" t="n">
        <v>195</v>
      </c>
      <c r="B196" s="6" t="inlineStr">
        <is>
          <t>8040573</t>
        </is>
      </c>
      <c r="C196" s="7" t="inlineStr">
        <is>
          <t>2023 IEEE SPS Video and Image Processing (VIP) Cup: Ophthalmic Biomarker Detection</t>
        </is>
      </c>
      <c r="D196" s="7" t="inlineStr">
        <is>
          <t>Ophthalmic clinical trials that study treatment efficacy of eye diseases are performed with a specific purpose and a set of procedures that are predetermined before trial initiation. Hence, they result in a controlled data collection process with gradual changes in the state of a diseased eye. In ge</t>
        </is>
      </c>
      <c r="E196" s="5" t="inlineStr">
        <is>
          <t>.zip</t>
        </is>
      </c>
      <c r="F196" s="5" t="n">
        <v>1</v>
      </c>
      <c r="G196" s="5" t="n">
        <v>33026.5</v>
      </c>
      <c r="H196" s="5" t="inlineStr"/>
      <c r="I196" s="5" t="inlineStr"/>
      <c r="J196" s="7" t="inlineStr"/>
    </row>
    <row r="197">
      <c r="A197" s="8" t="n">
        <v>196</v>
      </c>
      <c r="B197" s="9" t="inlineStr">
        <is>
          <t>5893429</t>
        </is>
      </c>
      <c r="C197" s="10" t="inlineStr">
        <is>
          <t>Simple and complex, sexually dimorphic retinal mosaic of fritillary butterflies</t>
        </is>
      </c>
      <c r="D197" s="10" t="inlineStr">
        <is>
          <t>Butterflies have variable sets of spectral photoreceptors that underlie colour vision. The photoreceptor organization may be optimised for the detection of body colouration. Fritillaries (Argynnini) are nymphalid butterflies exhibiting varying degrees of sexual dimorphism in wing colouration. In two</t>
        </is>
      </c>
      <c r="E197" s="8" t="inlineStr">
        <is>
          <t>.zip</t>
        </is>
      </c>
      <c r="F197" s="8" t="n">
        <v>5</v>
      </c>
      <c r="G197" s="8" t="n">
        <v>8.800000000000001</v>
      </c>
      <c r="H197" s="8" t="inlineStr"/>
      <c r="I197" s="8" t="inlineStr"/>
      <c r="J197" s="10" t="inlineStr"/>
    </row>
    <row r="198">
      <c r="A198" s="5" t="n">
        <v>197</v>
      </c>
      <c r="B198" s="6" t="inlineStr">
        <is>
          <t>7618624</t>
        </is>
      </c>
      <c r="C198" s="7" t="inlineStr">
        <is>
          <t>Automatic Choroid Vascularity Index Calculation in Optical Coherence Tomography Images with Low Contrast Sclerocho-roida</t>
        </is>
      </c>
      <c r="D198" s="7" t="inlineStr">
        <is>
          <t xml:space="preserve">This project aims to calculate Choroid Vascularity Index (CVI) in optical coherenece tomography (OCT) images, using loss modified U-Net. The method is detailed in "Automatic Choroid Vascularity Index Calculation in Optical Coherence Tomography Images low contrast sclerochoroidal junction Using Deep </t>
        </is>
      </c>
      <c r="E198" s="5" t="inlineStr">
        <is>
          <t>.rar</t>
        </is>
      </c>
      <c r="F198" s="5" t="n">
        <v>2</v>
      </c>
      <c r="G198" s="5" t="n">
        <v>108.9</v>
      </c>
      <c r="H198" s="5" t="inlineStr"/>
      <c r="I198" s="5" t="inlineStr"/>
      <c r="J198" s="7" t="inlineStr"/>
    </row>
    <row r="199">
      <c r="A199" s="8" t="n">
        <v>198</v>
      </c>
      <c r="B199" s="9" t="inlineStr">
        <is>
          <t>6476639</t>
        </is>
      </c>
      <c r="C199" s="10" t="inlineStr">
        <is>
          <t>UTHealth - Fundus and Synthetic OCT-A Dataset (UT-FSOCTA)</t>
        </is>
      </c>
      <c r="D199" s="10" t="inlineStr">
        <is>
          <t>Introduction  
 Vessel segmentation in fundus images is essential in the diagnosis and prognosis of retinal diseases and the identification of image-based biomarkers. However, creating a vessel segmentation map can be a tedious and time consuming process, requiring careful delineation of the vascul</t>
        </is>
      </c>
      <c r="E199" s="8" t="inlineStr">
        <is>
          <t>.zip</t>
        </is>
      </c>
      <c r="F199" s="8" t="n">
        <v>2</v>
      </c>
      <c r="G199" s="8" t="n">
        <v>1098.1</v>
      </c>
      <c r="H199" s="8" t="inlineStr"/>
      <c r="I199" s="8" t="inlineStr"/>
      <c r="J199" s="10" t="inlineStr"/>
    </row>
    <row r="200">
      <c r="A200" s="5" t="n">
        <v>199</v>
      </c>
      <c r="B200" s="6" t="inlineStr">
        <is>
          <t>14900998</t>
        </is>
      </c>
      <c r="C200" s="7" t="inlineStr">
        <is>
          <t>AMPERE Summary Plot Movies (2009-Oct)</t>
        </is>
      </c>
      <c r="D200" s="7" t="inlineStr">
        <is>
          <t>2009-Oct AMPERE summary plot movies. See included zenodo_summary_plot_movie_description document for details.</t>
        </is>
      </c>
      <c r="E200" s="5" t="inlineStr">
        <is>
          <t>.zip</t>
        </is>
      </c>
      <c r="F200" s="5" t="n">
        <v>31</v>
      </c>
      <c r="G200" s="5" t="n">
        <v>1196.3</v>
      </c>
      <c r="H200" s="5" t="inlineStr"/>
      <c r="I200" s="5" t="inlineStr"/>
      <c r="J200" s="7" t="inlineStr"/>
    </row>
    <row r="201">
      <c r="A201" s="8" t="n">
        <v>200</v>
      </c>
      <c r="B201" s="9" t="inlineStr">
        <is>
          <t>14917954</t>
        </is>
      </c>
      <c r="C201" s="10" t="inlineStr">
        <is>
          <t>AMPERE Summary Plot Movies (2021-Oct)</t>
        </is>
      </c>
      <c r="D201" s="10" t="inlineStr">
        <is>
          <t>2021-Oct AMPERE summary plot movies. See included zenodo_summary_plot_movie_description document for details.</t>
        </is>
      </c>
      <c r="E201" s="8" t="inlineStr">
        <is>
          <t>.zip</t>
        </is>
      </c>
      <c r="F201" s="8" t="n">
        <v>32</v>
      </c>
      <c r="G201" s="8" t="n">
        <v>2772.7</v>
      </c>
      <c r="H201" s="8" t="inlineStr"/>
      <c r="I201" s="8" t="inlineStr"/>
      <c r="J201" s="10" t="inlineStr"/>
    </row>
    <row r="202">
      <c r="A202" s="5" t="n">
        <v>201</v>
      </c>
      <c r="B202" s="6" t="inlineStr">
        <is>
          <t>3635402</t>
        </is>
      </c>
      <c r="C202" s="7" t="inlineStr">
        <is>
          <t>Measurement of Absolute Retinal Blood Flow Using a Laser Doppler Velocimeter Combined with Adaptive Optics</t>
        </is>
      </c>
      <c r="D202" s="7" t="inlineStr">
        <is>
          <t>Data set of measurements related to the following:  
  Purpose:  Development and validation of an absolute laser Doppler velocimeter (LDV) based on an adaptive optical fundus camera which provides simultaneously high definition images of the fundus vessels and absolute maximal red blood cells (RBCs</t>
        </is>
      </c>
      <c r="E202" s="5" t="inlineStr">
        <is>
          <t>.zip</t>
        </is>
      </c>
      <c r="F202" s="5" t="n">
        <v>1</v>
      </c>
      <c r="G202" s="5" t="n">
        <v>1342.8</v>
      </c>
      <c r="H202" s="5" t="inlineStr"/>
      <c r="I202" s="5" t="inlineStr"/>
      <c r="J202" s="7" t="inlineStr"/>
    </row>
    <row r="203">
      <c r="A203" s="8" t="n">
        <v>202</v>
      </c>
      <c r="B203" s="9" t="inlineStr">
        <is>
          <t>13219877</t>
        </is>
      </c>
      <c r="C203" s="10" t="inlineStr">
        <is>
          <t>bioimage.io upload: hpa/hpa-cell-image-segmentation-dataset</t>
        </is>
      </c>
      <c r="D203" s="10" t="inlineStr">
        <is>
          <t>View on bioimage.io  # HPA Cell Image Segmentation Dataset  
 This dataset includes annotated cell images obtained from the Human Protein Atlas (http://www.proteinatlas.org), each image contains 4 channels (Microtubules, ER, Nuclei and Protein of Interest). The cells in each image are annotated with</t>
        </is>
      </c>
      <c r="E203" s="8" t="inlineStr">
        <is>
          <t>.png</t>
        </is>
      </c>
      <c r="F203" s="8" t="n">
        <v>3</v>
      </c>
      <c r="G203" s="8" t="n">
        <v>0.4</v>
      </c>
      <c r="H203" s="8" t="inlineStr"/>
      <c r="I203" s="8" t="inlineStr"/>
      <c r="J203" s="10" t="inlineStr"/>
    </row>
    <row r="204">
      <c r="A204" s="5" t="n">
        <v>203</v>
      </c>
      <c r="B204" s="6" t="inlineStr">
        <is>
          <t>14905226</t>
        </is>
      </c>
      <c r="C204" s="7" t="inlineStr">
        <is>
          <t>AMPERE Summary Plot Movies (2016-Oct)</t>
        </is>
      </c>
      <c r="D204" s="7" t="inlineStr">
        <is>
          <t>2016-Oct AMPERE summary plot movies. See included zenodo_summary_plot_movie_description document for details.</t>
        </is>
      </c>
      <c r="E204" s="5" t="inlineStr">
        <is>
          <t>.zip</t>
        </is>
      </c>
      <c r="F204" s="5" t="n">
        <v>32</v>
      </c>
      <c r="G204" s="5" t="n">
        <v>2750.2</v>
      </c>
      <c r="H204" s="5" t="inlineStr"/>
      <c r="I204" s="5" t="inlineStr"/>
      <c r="J204" s="7" t="inlineStr"/>
    </row>
    <row r="205">
      <c r="A205" s="8" t="n">
        <v>204</v>
      </c>
      <c r="B205" s="9" t="inlineStr">
        <is>
          <t>5084941</t>
        </is>
      </c>
      <c r="C205" s="10" t="inlineStr">
        <is>
          <t>Feedback from retinal ganglion cells to the inner retina</t>
        </is>
      </c>
      <c r="D205" s="10" t="inlineStr">
        <is>
          <t>This repository contains the data files and codes used in the following paper: 
 Feedback from retinal ganglion cells to the inner retina 
Anastasiia Vlasiuk, Hiroki Asari 
PLOS One (accepted) 
 The preprint is also available from bioRxiv 2020.08.30.274514.</t>
        </is>
      </c>
      <c r="E205" s="8" t="inlineStr">
        <is>
          <t>.zip</t>
        </is>
      </c>
      <c r="F205" s="8" t="n">
        <v>1</v>
      </c>
      <c r="G205" s="8" t="n">
        <v>113</v>
      </c>
      <c r="H205" s="8" t="inlineStr"/>
      <c r="I205" s="8" t="inlineStr"/>
      <c r="J205" s="10" t="inlineStr"/>
    </row>
    <row r="206">
      <c r="A206" s="5" t="n">
        <v>205</v>
      </c>
      <c r="B206" s="6" t="inlineStr">
        <is>
          <t>7689509</t>
        </is>
      </c>
      <c r="C206" s="7" t="inlineStr">
        <is>
          <t>Synthetic Nodules for Evaluation of 3D Deep Learning Segmentation Attribution</t>
        </is>
      </c>
      <c r="D206" s="7" t="inlineStr">
        <is>
          <t>Both the algorithm used to generate this dataset as well as the comprehensive evaluation metric for visual explanations are detailed in the paper "Attribution of 3D Deep Learning Segmentation in Medical Imaging". 
 This is a synthetic dataset developed to enable the comprehensive evaluation of visu</t>
        </is>
      </c>
      <c r="E206" s="5" t="inlineStr">
        <is>
          <t>.zip</t>
        </is>
      </c>
      <c r="F206" s="5" t="n">
        <v>8</v>
      </c>
      <c r="G206" s="5" t="n">
        <v>1479.5</v>
      </c>
      <c r="H206" s="5" t="inlineStr"/>
      <c r="I206" s="5" t="inlineStr"/>
      <c r="J206" s="7" t="inlineStr"/>
    </row>
    <row r="207">
      <c r="A207" s="8" t="n">
        <v>206</v>
      </c>
      <c r="B207" s="9" t="inlineStr">
        <is>
          <t>7678656</t>
        </is>
      </c>
      <c r="C207" s="10" t="inlineStr">
        <is>
          <t>Topological characterization of the retinal microvascular network visualized by portable fundus camera- effects of chron</t>
        </is>
      </c>
      <c r="D207" s="10" t="inlineStr">
        <is>
          <t>Introduction  
  T opological characterization of the  R etinal microvascular n E twork visualized by portable fu ND us camera ( TREND 2 ) is a database of digital color eye fundus images created as an addition to TREND  database (https://zenodo.org/badge/DOI/10.5281/zenodo.4521044.svg). 
 TREND 2</t>
        </is>
      </c>
      <c r="E207" s="8" t="inlineStr">
        <is>
          <t>.zip</t>
        </is>
      </c>
      <c r="F207" s="8" t="n">
        <v>6</v>
      </c>
      <c r="G207" s="8" t="n">
        <v>85.90000000000001</v>
      </c>
      <c r="H207" s="8" t="inlineStr"/>
      <c r="I207" s="8" t="inlineStr"/>
      <c r="J207" s="10" t="inlineStr"/>
    </row>
    <row r="208">
      <c r="A208" s="5" t="n">
        <v>207</v>
      </c>
      <c r="B208" s="6" t="inlineStr">
        <is>
          <t>7724828</t>
        </is>
      </c>
      <c r="C208" s="7" t="inlineStr">
        <is>
          <t>Pretrained models and test examples of live cell anatomy segmentation</t>
        </is>
      </c>
      <c r="D208" s="7" t="inlineStr">
        <is>
          <t>Pretrained models of live cell anatomy segmentation and test examples of the segmentation of 15 structures</t>
        </is>
      </c>
      <c r="E208" s="5" t="inlineStr">
        <is>
          <t>.zip</t>
        </is>
      </c>
      <c r="F208" s="5" t="n">
        <v>2</v>
      </c>
      <c r="G208" s="5" t="n">
        <v>851.1</v>
      </c>
      <c r="H208" s="5" t="inlineStr"/>
      <c r="I208" s="5" t="inlineStr"/>
      <c r="J208" s="7" t="inlineStr"/>
    </row>
    <row r="209">
      <c r="A209" s="8" t="n">
        <v>208</v>
      </c>
      <c r="B209" s="9" t="inlineStr">
        <is>
          <t>7677506</t>
        </is>
      </c>
      <c r="C209" s="10" t="inlineStr">
        <is>
          <t>Doodleverse/Segmentation Zoo/Seg2Map Segformer models for Chesapeake/7-class segmentation of RGB 512x512 high-res. image</t>
        </is>
      </c>
      <c r="D209" s="10" t="inlineStr">
        <is>
          <t>Doodleverse/Segmentation Zoo/Seg2Map Segformer models for Chesapeake/7-class segmentation of RGB 512x512 high-res. images   
 These Segformer model data are based on Chesapeake Land Cover images and associated labels. 
 Models have been created using Segmentation Gym* using the following dataset**</t>
        </is>
      </c>
      <c r="E209" s="8" t="inlineStr">
        <is>
          <t>.h5, .npz, .png</t>
        </is>
      </c>
      <c r="F209" s="8" t="n">
        <v>23</v>
      </c>
      <c r="G209" s="8" t="n">
        <v>58.1</v>
      </c>
      <c r="H209" s="8" t="inlineStr"/>
      <c r="I209" s="8" t="inlineStr"/>
      <c r="J209" s="10" t="inlineStr"/>
    </row>
    <row r="210">
      <c r="A210" s="5" t="n">
        <v>209</v>
      </c>
      <c r="B210" s="6" t="inlineStr">
        <is>
          <t>4980308</t>
        </is>
      </c>
      <c r="C210" s="7" t="inlineStr">
        <is>
          <t>Data from: All-optical recording and stimulation of retinal neurons in vivo in retinal degeneration mice</t>
        </is>
      </c>
      <c r="D210" s="7" t="inlineStr">
        <is>
          <t>Here we demonstrate the application of a method that could accelerate the development of novel therapies by allowing direct and repeatable visualization of cellular function in the living eye, to study loss of vision in animal models of retinal disease, as well as evaluate the time course of retinal</t>
        </is>
      </c>
      <c r="E210" s="5" t="inlineStr">
        <is>
          <t>.zip</t>
        </is>
      </c>
      <c r="F210" s="5" t="n">
        <v>2</v>
      </c>
      <c r="G210" s="5" t="n">
        <v>211.4</v>
      </c>
      <c r="H210" s="5" t="inlineStr"/>
      <c r="I210" s="5" t="inlineStr"/>
      <c r="J210" s="7" t="inlineStr"/>
    </row>
    <row r="211">
      <c r="A211" s="8" t="n">
        <v>210</v>
      </c>
      <c r="B211" s="9" t="inlineStr">
        <is>
          <t>3382874</t>
        </is>
      </c>
      <c r="C211" s="10" t="inlineStr">
        <is>
          <t>Scanning precession electron diffraction data of partly overlapping magnesium oxide nanoparticles</t>
        </is>
      </c>
      <c r="D211" s="10" t="inlineStr">
        <is>
          <t>Scanning precession electron diffraction (SPED) data of cubical magnesium oxide (MgO) nanoparticles are provided. The MgO particles in the data are partly overlapping and some share the same orientation. The dataset was used for demonstration of nanocrystal segmentation in SPED data, which is presen</t>
        </is>
      </c>
      <c r="E211" s="8" t="inlineStr">
        <is>
          <t>.hdf5</t>
        </is>
      </c>
      <c r="F211" s="8" t="n">
        <v>2</v>
      </c>
      <c r="G211" s="8" t="n">
        <v>831.4</v>
      </c>
      <c r="H211" s="8" t="inlineStr"/>
      <c r="I211" s="8" t="inlineStr"/>
      <c r="J211" s="10" t="inlineStr"/>
    </row>
    <row r="212">
      <c r="A212" s="5" t="n">
        <v>211</v>
      </c>
      <c r="B212" s="6" t="inlineStr">
        <is>
          <t>4982737</t>
        </is>
      </c>
      <c r="C212" s="7" t="inlineStr">
        <is>
          <t>Parallel CRISPR-Cas9 screens clarify impacts of p53 on screen performance</t>
        </is>
      </c>
      <c r="D212" s="7" t="inlineStr">
        <is>
          <t>CRISPR-Cas9 genome engineering has revolutionised high-throughput functional genomic screens. However, recent work has raised concerns regarding the performance of CRISPR-Cas9 screens using  TP53  wild-type human cells due to a p53-mediated DNA damage response (DDR) limiting the efficiency of genera</t>
        </is>
      </c>
      <c r="E212" s="5" t="inlineStr">
        <is>
          <t>.zip</t>
        </is>
      </c>
      <c r="F212" s="5" t="n">
        <v>9</v>
      </c>
      <c r="G212" s="5" t="n">
        <v>5.9</v>
      </c>
      <c r="H212" s="5" t="inlineStr"/>
      <c r="I212" s="5" t="inlineStr"/>
      <c r="J212" s="7" t="inlineStr"/>
    </row>
    <row r="213">
      <c r="A213" s="8" t="n">
        <v>212</v>
      </c>
      <c r="B213" s="9" t="inlineStr">
        <is>
          <t>10537424</t>
        </is>
      </c>
      <c r="C213" s="10" t="inlineStr">
        <is>
          <t>DeepEye: A Deep learning approach for Detection of Automated Retinal Eye Disease Diagnosis</t>
        </is>
      </c>
      <c r="D213" s="10" t="inlineStr"/>
      <c r="E213" s="8" t="inlineStr">
        <is>
          <t>.7z</t>
        </is>
      </c>
      <c r="F213" s="8" t="n">
        <v>1</v>
      </c>
      <c r="G213" s="8" t="n">
        <v>330.5</v>
      </c>
      <c r="H213" s="8" t="inlineStr"/>
      <c r="I213" s="8" t="inlineStr"/>
      <c r="J213" s="10" t="inlineStr"/>
    </row>
    <row r="214">
      <c r="A214" s="5" t="n">
        <v>213</v>
      </c>
      <c r="B214" s="6" t="inlineStr">
        <is>
          <t>5659573</t>
        </is>
      </c>
      <c r="C214" s="7" t="inlineStr">
        <is>
          <t>Computer-aided Veress needle guidance using endoscopic optical coherence tomography and convolutional neural networks</t>
        </is>
      </c>
      <c r="D214" s="7" t="inlineStr">
        <is>
          <t>During laparoscopic surgery, the Veress needle is commonly used in pneumoperitoneum establishment. Precise placement of the Veress needle is still a challenge for the surgeon. In this study, a computer-aided endoscopic optical coherence tomography (OCT) system was developed to effectively and safely</t>
        </is>
      </c>
      <c r="E214" s="5" t="inlineStr">
        <is>
          <t>.zip</t>
        </is>
      </c>
      <c r="F214" s="5" t="n">
        <v>10</v>
      </c>
      <c r="G214" s="5" t="n">
        <v>5114.4</v>
      </c>
      <c r="H214" s="5" t="inlineStr"/>
      <c r="I214" s="5" t="inlineStr"/>
      <c r="J214" s="7" t="inlineStr"/>
    </row>
    <row r="215">
      <c r="A215" s="8" t="n">
        <v>214</v>
      </c>
      <c r="B215" s="9" t="inlineStr">
        <is>
          <t>4990921</t>
        </is>
      </c>
      <c r="C215" s="10" t="inlineStr">
        <is>
          <t>Retinofugal projections from melanopsin-expressing retinal ganglion cells revealed by intraocular injections of Cre-depe</t>
        </is>
      </c>
      <c r="D215" s="10" t="inlineStr">
        <is>
          <t xml:space="preserve">To understand visual functions mediated by intrinsically photosensitive melanopsin-expressing retinal ganglion cells (mRGCs), it is important to elucidate axonal projections from these cells into the brain.  Initial studies reported that melanopsin is expressed only in retinal ganglion cells within </t>
        </is>
      </c>
      <c r="E215" s="8" t="inlineStr">
        <is>
          <t>.jpg, .tiff</t>
        </is>
      </c>
      <c r="F215" s="8" t="n">
        <v>4</v>
      </c>
      <c r="G215" s="8" t="n">
        <v>21.4</v>
      </c>
      <c r="H215" s="8" t="inlineStr"/>
      <c r="I215" s="8" t="inlineStr"/>
      <c r="J215" s="10" t="inlineStr"/>
    </row>
    <row r="216">
      <c r="A216" s="5" t="n">
        <v>215</v>
      </c>
      <c r="B216" s="6" t="inlineStr">
        <is>
          <t>7352859</t>
        </is>
      </c>
      <c r="C216" s="7" t="inlineStr">
        <is>
          <t>Doodleverse/Segmentation Zoo Res-UNet models for 4-class (water, whitewater, sediment and other) segmentation of Sentine</t>
        </is>
      </c>
      <c r="D216" s="7" t="inlineStr">
        <is>
          <t>Doodleverse/Segmentation Zoo Res-UNet models for 4-class (water, whitewater, sediment and other) segmentation of Sentinel-2 and Landsat-7/8 1-band NDWI images of coasts.   
 These Residual-UNet model data are based on 1-band NDWI images of coasts and associated labels. 
 Models have been created u</t>
        </is>
      </c>
      <c r="E216" s="5" t="inlineStr">
        <is>
          <t>.h5, .npz, .png</t>
        </is>
      </c>
      <c r="F216" s="5" t="n">
        <v>32</v>
      </c>
      <c r="G216" s="5" t="n">
        <v>398.5</v>
      </c>
      <c r="H216" s="5" t="inlineStr"/>
      <c r="I216" s="5" t="inlineStr"/>
      <c r="J216" s="7" t="inlineStr"/>
    </row>
    <row r="217">
      <c r="A217" s="8" t="n">
        <v>216</v>
      </c>
      <c r="B217" s="9" t="inlineStr">
        <is>
          <t>6590026</t>
        </is>
      </c>
      <c r="C217" s="10" t="inlineStr">
        <is>
          <t>Dataset Validation Images for the MICCAI-2022-Challenge: Airway Tree Modeling (ATM'22)</t>
        </is>
      </c>
      <c r="D217" s="10" t="inlineStr">
        <is>
          <t>Dataset for the MICCAI-2022-Challenge: Airway Tree Modeling (ATM'22) 
 This is the Validation Image part.  
 If you use this dataset in your research, you must cite the papers in the References below !!!</t>
        </is>
      </c>
      <c r="E217" s="8" t="inlineStr">
        <is>
          <t>.rar</t>
        </is>
      </c>
      <c r="F217" s="8" t="n">
        <v>1</v>
      </c>
      <c r="G217" s="8" t="n">
        <v>8351.6</v>
      </c>
      <c r="H217" s="8" t="inlineStr"/>
      <c r="I217" s="8" t="inlineStr"/>
      <c r="J217" s="10" t="inlineStr"/>
    </row>
    <row r="218">
      <c r="A218" s="5" t="n">
        <v>217</v>
      </c>
      <c r="B218" s="6" t="inlineStr">
        <is>
          <t>8302795</t>
        </is>
      </c>
      <c r="C218" s="7" t="inlineStr">
        <is>
          <t>Late gene therapy limits the restoration of retinal function in a mouse model of retinitis pigmentosa</t>
        </is>
      </c>
      <c r="D218" s="7" t="inlineStr">
        <is>
          <t>Retinitis pigmentosa is an inherited photoreceptor degeneration that begins with rod loss followed by cone loss. This cell loss greatly diminishes vision, with most patients becoming legally blind. Gene therapies are being developed, but it is unknown how retinal function depends on the time of inte</t>
        </is>
      </c>
      <c r="E218" s="5" t="inlineStr"/>
      <c r="F218" s="5" t="n">
        <v>104</v>
      </c>
      <c r="G218" s="5" t="n">
        <v>13101.2</v>
      </c>
      <c r="H218" s="5" t="inlineStr"/>
      <c r="I218" s="5" t="inlineStr"/>
      <c r="J218" s="7" t="inlineStr"/>
    </row>
    <row r="219">
      <c r="A219" s="8" t="n">
        <v>218</v>
      </c>
      <c r="B219" s="9" t="inlineStr">
        <is>
          <t>5013594</t>
        </is>
      </c>
      <c r="C219" s="10" t="inlineStr">
        <is>
          <t>Pinopsin evolved as the ancestral dim-light visual opsin in vertebrates</t>
        </is>
      </c>
      <c r="D219" s="10" t="inlineStr">
        <is>
          <t xml:space="preserve">Pinopsin is the opsin most closely related to vertebrate visual pigments on the phylogenetic tree. This opsin has been discovered among many vertebrates, except mammals and teleosts, and was thought to exclusively function in their brain for extraocular photoreception. Here, we show the possibility </t>
        </is>
      </c>
      <c r="E219" s="8" t="inlineStr">
        <is>
          <t>.zip</t>
        </is>
      </c>
      <c r="F219" s="8" t="n">
        <v>1</v>
      </c>
      <c r="G219" s="8" t="n">
        <v>172.8</v>
      </c>
      <c r="H219" s="8" t="inlineStr"/>
      <c r="I219" s="8" t="inlineStr"/>
      <c r="J219" s="10" t="inlineStr"/>
    </row>
    <row r="220">
      <c r="A220" s="5" t="n">
        <v>219</v>
      </c>
      <c r="B220" s="6" t="inlineStr">
        <is>
          <t>14903526</t>
        </is>
      </c>
      <c r="C220" s="7" t="inlineStr">
        <is>
          <t>AMPERE Summary Plot Movies (2013-Oct)</t>
        </is>
      </c>
      <c r="D220" s="7" t="inlineStr">
        <is>
          <t>2013-Oct AMPERE summary plot movies. See included zenodo_summary_plot_movie_description document for details.</t>
        </is>
      </c>
      <c r="E220" s="5" t="inlineStr">
        <is>
          <t>.zip</t>
        </is>
      </c>
      <c r="F220" s="5" t="n">
        <v>32</v>
      </c>
      <c r="G220" s="5" t="n">
        <v>2759.1</v>
      </c>
      <c r="H220" s="5" t="inlineStr"/>
      <c r="I220" s="5" t="inlineStr"/>
      <c r="J220" s="7" t="inlineStr"/>
    </row>
    <row r="221">
      <c r="A221" s="8" t="n">
        <v>220</v>
      </c>
      <c r="B221" s="9" t="inlineStr">
        <is>
          <t>5018581</t>
        </is>
      </c>
      <c r="C221" s="10" t="inlineStr">
        <is>
          <t>Endoscopic OCT for epidural anesthesia</t>
        </is>
      </c>
      <c r="D221" s="10" t="inlineStr">
        <is>
          <t>Code  [ GitHub ] |  Publication  [ Scientific Reports'22 ] 
  Abstract  
 Epidural anesthesia requires injection of anesthetic into the epidural space in the spine. Accurate placement of the epidural needle is a major challenge. To address this, we developed a forward-view endoscopic optical coh</t>
        </is>
      </c>
      <c r="E221" s="8" t="inlineStr">
        <is>
          <t>.zip</t>
        </is>
      </c>
      <c r="F221" s="8" t="n">
        <v>1</v>
      </c>
      <c r="G221" s="8" t="n">
        <v>1204.2</v>
      </c>
      <c r="H221" s="8" t="inlineStr"/>
      <c r="I221" s="8" t="inlineStr"/>
      <c r="J221" s="10" t="inlineStr"/>
    </row>
    <row r="222">
      <c r="A222" s="5" t="n">
        <v>221</v>
      </c>
      <c r="B222" s="6" t="inlineStr">
        <is>
          <t>7566992</t>
        </is>
      </c>
      <c r="C222" s="7" t="inlineStr">
        <is>
          <t>Doodleverse/Segmentation Zoo/Seg2Map Res-UNet models for CoastTrain/5-class segmentation of RGB 768x768 NAIP images</t>
        </is>
      </c>
      <c r="D222" s="7" t="inlineStr">
        <is>
          <t xml:space="preserve">Doodleverse/Segmentation Zoo/Seg2Map Res-UNet models for CoastTrain 5-class segmentation of RGB 768x768 NAIP images   
 These Residual-UNet model data are based on Coast Train images and associated labels. https://coasttrain.github.io/CoastTrain/docs/Version%201:%20March%202022/data 
 Models have </t>
        </is>
      </c>
      <c r="E222" s="5" t="inlineStr">
        <is>
          <t>.h5, .npz, .png</t>
        </is>
      </c>
      <c r="F222" s="5" t="n">
        <v>33</v>
      </c>
      <c r="G222" s="5" t="n">
        <v>398.4</v>
      </c>
      <c r="H222" s="5" t="inlineStr"/>
      <c r="I222" s="5" t="inlineStr"/>
      <c r="J222" s="7" t="inlineStr"/>
    </row>
    <row r="223">
      <c r="A223" s="8" t="n">
        <v>222</v>
      </c>
      <c r="B223" s="9" t="inlineStr">
        <is>
          <t>7576909</t>
        </is>
      </c>
      <c r="C223" s="10" t="inlineStr">
        <is>
          <t>Doodleverse/Segmentation Zoo/Seg2Map Res-UNet models for EnviroAtlas/6-class segmentation of RGB 512x512 high-res. image</t>
        </is>
      </c>
      <c r="D223" s="10" t="inlineStr">
        <is>
          <t>Doodleverse/Segmentation Zoo/Seg2Map Res-UNet models for EnviroAtlas/6-class segmentation of RGB 512x512 high-res. images   
 These Residual-UNet model data are based on [EnviroAtlas](https://www.mdpi.com/2072-4292/12/12/1909) images and associated labels. 
 Models have been created using Segmenta</t>
        </is>
      </c>
      <c r="E223" s="8" t="inlineStr">
        <is>
          <t>.h5, .npz, .png</t>
        </is>
      </c>
      <c r="F223" s="8" t="n">
        <v>33</v>
      </c>
      <c r="G223" s="8" t="n">
        <v>398.7</v>
      </c>
      <c r="H223" s="8" t="inlineStr"/>
      <c r="I223" s="8" t="inlineStr"/>
      <c r="J223" s="10" t="inlineStr"/>
    </row>
    <row r="224">
      <c r="A224" s="5" t="n">
        <v>223</v>
      </c>
      <c r="B224" s="6" t="inlineStr">
        <is>
          <t>8411859</t>
        </is>
      </c>
      <c r="C224" s="7" t="inlineStr">
        <is>
          <t>Data from: Awake responses suggest inefficient dense coding in the mouse retina</t>
        </is>
      </c>
      <c r="D224" s="7" t="inlineStr">
        <is>
          <t>The structure and function of the vertebrate retina have been extensively studied across species with an isolated,  ex vivo  preparation. Retinal function  in vivo , however, remains elusive, especially in awake animals. Here we performed single-unit extracellular recordings in the optic tract of he</t>
        </is>
      </c>
      <c r="E224" s="5" t="inlineStr">
        <is>
          <t>.zip</t>
        </is>
      </c>
      <c r="F224" s="5" t="n">
        <v>2</v>
      </c>
      <c r="G224" s="5" t="n">
        <v>4655.1</v>
      </c>
      <c r="H224" s="5" t="inlineStr"/>
      <c r="I224" s="5" t="inlineStr"/>
      <c r="J224" s="7" t="inlineStr"/>
    </row>
    <row r="225">
      <c r="A225" s="8" t="n">
        <v>224</v>
      </c>
      <c r="B225" s="9" t="inlineStr">
        <is>
          <t>6606471</t>
        </is>
      </c>
      <c r="C225" s="10" t="inlineStr">
        <is>
          <t>Sub-diffusion flow velocimetry with number fluctuation optical coherence tomography</t>
        </is>
      </c>
      <c r="D225" s="10" t="inlineStr">
        <is>
          <t>This repository contains raw data and analysis routines of the publication  “ Sub-diffusion flow velocimetry with number fluctuation optical coherence tomography ”  in Optics Express (doi.org/10.1364/OE.474279 ).  The reader is free to use the scripts and data in this depository if the manuscript is</t>
        </is>
      </c>
      <c r="E225" s="8" t="inlineStr">
        <is>
          <t>.zip</t>
        </is>
      </c>
      <c r="F225" s="8" t="n">
        <v>19</v>
      </c>
      <c r="G225" s="8" t="n">
        <v>29722.2</v>
      </c>
      <c r="H225" s="8" t="inlineStr"/>
      <c r="I225" s="8" t="inlineStr"/>
      <c r="J225" s="10" t="inlineStr"/>
    </row>
    <row r="226">
      <c r="A226" s="5" t="n">
        <v>225</v>
      </c>
      <c r="B226" s="6" t="inlineStr">
        <is>
          <t>10301246</t>
        </is>
      </c>
      <c r="C226" s="7" t="inlineStr">
        <is>
          <t>Fen Farm Wattle</t>
        </is>
      </c>
      <c r="D226" s="7" t="inlineStr">
        <is>
          <t>25th Oct 2017
Source: Objaverse 1.0 / Sketchfab</t>
        </is>
      </c>
      <c r="E226" s="5" t="inlineStr">
        <is>
          <t>.jpeg</t>
        </is>
      </c>
      <c r="F226" s="5" t="n">
        <v>6</v>
      </c>
      <c r="G226" s="5" t="n">
        <v>23.7</v>
      </c>
      <c r="H226" s="5" t="inlineStr"/>
      <c r="I226" s="5" t="inlineStr"/>
      <c r="J226" s="7" t="inlineStr"/>
    </row>
    <row r="227">
      <c r="A227" s="8" t="n">
        <v>226</v>
      </c>
      <c r="B227" s="9" t="inlineStr">
        <is>
          <t>7622733</t>
        </is>
      </c>
      <c r="C227" s="10" t="inlineStr">
        <is>
          <t>Doodleverse/Segmentation Zoo/Seg2Map Res-UNet models for segmentation of AAAI/flooded buildings in RGB 1024x1024 high-re</t>
        </is>
      </c>
      <c r="D227" s="10" t="inlineStr">
        <is>
          <t>Doodleverse/Segmentation Zoo/Seg2Map Res-UNet models for segmentation of AAAI/flooded buildings in RGB 1024x1024 high-res. images   
 Models have been created using Segmentation Gym* using the following dataset**: https://github.com/FrontierDevelopmentLab/multi3net 
 These Residual-UNet model data</t>
        </is>
      </c>
      <c r="E227" s="8" t="inlineStr">
        <is>
          <t>.h5, .npz, .png</t>
        </is>
      </c>
      <c r="F227" s="8" t="n">
        <v>23</v>
      </c>
      <c r="G227" s="8" t="n">
        <v>265.9</v>
      </c>
      <c r="H227" s="8" t="inlineStr"/>
      <c r="I227" s="8" t="inlineStr"/>
      <c r="J227" s="10" t="inlineStr"/>
    </row>
    <row r="228">
      <c r="A228" s="5" t="n">
        <v>227</v>
      </c>
      <c r="B228" s="6" t="inlineStr">
        <is>
          <t>4059559</t>
        </is>
      </c>
      <c r="C228" s="7" t="inlineStr">
        <is>
          <t>Quantification of plant morphology and leaf thickness with optical coherence tomography</t>
        </is>
      </c>
      <c r="D228" s="7" t="inlineStr">
        <is>
          <t>The uploaded scripts and data are used to obtain the figures 2, 4, 5, 6 and 7 in the publication.  
 The code has been run with Python 3.7 in Spyder (Anaconda). 
 There are three scripts, each needing specific datasets to run the code. 
 1. The core is the segmentation of the leaf surface and thi</t>
        </is>
      </c>
      <c r="E228" s="5" t="inlineStr">
        <is>
          <t>.npy</t>
        </is>
      </c>
      <c r="F228" s="5" t="n">
        <v>8</v>
      </c>
      <c r="G228" s="5" t="n">
        <v>526.7</v>
      </c>
      <c r="H228" s="5" t="inlineStr"/>
      <c r="I228" s="5" t="inlineStr"/>
      <c r="J228" s="7" t="inlineStr"/>
    </row>
    <row r="229">
      <c r="A229" s="8" t="n">
        <v>228</v>
      </c>
      <c r="B229" s="9" t="inlineStr">
        <is>
          <t>7806898</t>
        </is>
      </c>
      <c r="C229" s="10" t="inlineStr">
        <is>
          <t>High-resolution structural and functional retinal imaging in the awake behaving mouse</t>
        </is>
      </c>
      <c r="D229" s="10" t="inlineStr">
        <is>
          <t xml:space="preserve">Source data presented in Communications Biology paper Feng et al. 2023 – ‘High-resolution structural and functional retinal imaging in the awake behaving mouse’. Complete processed data presented in Figures 2 and 3 are uploaded along with the raw simultaneously recorded rotary encoder data. Raw SLO </t>
        </is>
      </c>
      <c r="E229" s="8" t="inlineStr">
        <is>
          <t>.zip</t>
        </is>
      </c>
      <c r="F229" s="8" t="n">
        <v>6</v>
      </c>
      <c r="G229" s="8" t="n">
        <v>13477.5</v>
      </c>
      <c r="H229" s="8" t="inlineStr"/>
      <c r="I229" s="8" t="inlineStr"/>
      <c r="J229" s="10" t="inlineStr"/>
    </row>
    <row r="230">
      <c r="A230" s="5" t="n">
        <v>229</v>
      </c>
      <c r="B230" s="6" t="inlineStr">
        <is>
          <t>4995514</t>
        </is>
      </c>
      <c r="C230" s="7" t="inlineStr">
        <is>
          <t>Data from: Co-expression of two subtypes of melatonin receptor on rat M1-type intrinsically photosensitive retinal gangl</t>
        </is>
      </c>
      <c r="D230" s="7" t="inlineStr">
        <is>
          <t>Intrinsically photosensitive retinal ganglion cells (ipRGCs) are involved in circadian and other non-image forming visual responses. An open question is whether the activity of these neurons may also be under the regulation mediated by the neurohormone melatonin. In the present work, by double-stain</t>
        </is>
      </c>
      <c r="E230" s="5" t="inlineStr">
        <is>
          <t>.rar, .zip</t>
        </is>
      </c>
      <c r="F230" s="5" t="n">
        <v>5</v>
      </c>
      <c r="G230" s="5" t="n">
        <v>2728.3</v>
      </c>
      <c r="H230" s="5" t="inlineStr"/>
      <c r="I230" s="5" t="inlineStr"/>
      <c r="J230" s="7" t="inlineStr"/>
    </row>
    <row r="231">
      <c r="A231" s="8" t="n">
        <v>230</v>
      </c>
      <c r="B231" s="9" t="inlineStr">
        <is>
          <t>7432971</t>
        </is>
      </c>
      <c r="C231" s="10" t="inlineStr">
        <is>
          <t>Data set accompanying the paper "Effective cell membrane tension is independent of polyacrylamide substrate stiffness"</t>
        </is>
      </c>
      <c r="D231" s="10" t="inlineStr">
        <is>
          <t>This data set contains the data presented in the publication "Effective cell membrane tension is independent of polyacrylamide substrate stiffness". It consists of optical tweezers data and traction force microscopy data of 3T3 fibroblasts and Xenopus retinal ganglion cells on several different subs</t>
        </is>
      </c>
      <c r="E231" s="8" t="inlineStr">
        <is>
          <t>.zip</t>
        </is>
      </c>
      <c r="F231" s="8" t="n">
        <v>1</v>
      </c>
      <c r="G231" s="8" t="n">
        <v>4713.9</v>
      </c>
      <c r="H231" s="8" t="inlineStr"/>
      <c r="I231" s="8" t="inlineStr"/>
      <c r="J231" s="10" t="inlineStr"/>
    </row>
    <row r="232">
      <c r="A232" s="5" t="n">
        <v>231</v>
      </c>
      <c r="B232" s="6" t="inlineStr">
        <is>
          <t>5798072</t>
        </is>
      </c>
      <c r="C232" s="7" t="inlineStr">
        <is>
          <t>Multiscale Entropy Analysis of Retinal Signals Reveals Reduced Complexity in a Mouse Model of Alzheimer's Disease</t>
        </is>
      </c>
      <c r="D232" s="7" t="inlineStr">
        <is>
          <t>MEA recordings from wild-type and 5xFAD mice retinas used for the analyses in the manuscript "Multiscale Entropy Analysis of Retinal Signals Reveals Reduced Complexity in a Mouse Model of Alzheimer's Disease".</t>
        </is>
      </c>
      <c r="E232" s="5" t="inlineStr">
        <is>
          <t>.zip</t>
        </is>
      </c>
      <c r="F232" s="5" t="n">
        <v>1</v>
      </c>
      <c r="G232" s="5" t="n">
        <v>1255.3</v>
      </c>
      <c r="H232" s="5" t="inlineStr"/>
      <c r="I232" s="5" t="inlineStr"/>
      <c r="J232" s="7" t="inlineStr"/>
    </row>
    <row r="233">
      <c r="A233" s="8" t="n">
        <v>232</v>
      </c>
      <c r="B233" s="9" t="inlineStr">
        <is>
          <t>16983454</t>
        </is>
      </c>
      <c r="C233" s="10" t="inlineStr">
        <is>
          <t>Dataset: Differential topographic organization and retinal inheritance of direction and orientation selectivity in the v</t>
        </is>
      </c>
      <c r="D233" s="10" t="inlineStr">
        <is>
          <t>Dataset and code to generate the figures of Yaakov* ,  Heukamp* et al.,2025 (Nature Communications): "Differential topographic organization and retinal inheritance of direction and orientation selectivity in the visual thalamus"</t>
        </is>
      </c>
      <c r="E233" s="8" t="inlineStr">
        <is>
          <t>.zip</t>
        </is>
      </c>
      <c r="F233" s="8" t="n">
        <v>1</v>
      </c>
      <c r="G233" s="8" t="n">
        <v>309</v>
      </c>
      <c r="H233" s="8" t="inlineStr"/>
      <c r="I233" s="8" t="inlineStr"/>
      <c r="J233" s="10" t="inlineStr"/>
    </row>
    <row r="234">
      <c r="A234" s="5" t="n">
        <v>233</v>
      </c>
      <c r="B234" s="6" t="inlineStr">
        <is>
          <t>13734306</t>
        </is>
      </c>
      <c r="C234" s="7" t="inlineStr">
        <is>
          <t>AquaXAI: Visual and Textual Dataset for XAI in Aquatic Environments</t>
        </is>
      </c>
      <c r="D234" s="7" t="inlineStr">
        <is>
          <t>This Dataset is for the publication: "Interactive Simulator Framework for XAI Applications in Aquatic Environments"  AquaXAI is a synthetic dataset aiming to explain boat skippers' actions in aquatic environments, using Unity Simulator. 
 The dataset consists of: 
 Image: RGB + Semantic Segmentation</t>
        </is>
      </c>
      <c r="E234" s="5" t="inlineStr">
        <is>
          <t>.zip</t>
        </is>
      </c>
      <c r="F234" s="5" t="n">
        <v>1</v>
      </c>
      <c r="G234" s="5" t="n">
        <v>499</v>
      </c>
      <c r="H234" s="5" t="inlineStr"/>
      <c r="I234" s="5" t="inlineStr"/>
      <c r="J234" s="7" t="inlineStr"/>
    </row>
    <row r="235">
      <c r="A235" s="8" t="n">
        <v>234</v>
      </c>
      <c r="B235" s="9" t="inlineStr">
        <is>
          <t>7352850</t>
        </is>
      </c>
      <c r="C235" s="10" t="inlineStr">
        <is>
          <t>Doodleverse/Segmentation Zoo Res-UNet models for 4-class (water, whitewater, sediment and other) segmentation of Sentine</t>
        </is>
      </c>
      <c r="D235" s="10" t="inlineStr">
        <is>
          <t>Doodleverse/Segmentation Zoo Res-UNet models for 4-class (water, whitewater, sediment and other) segmentation of Sentinel-2 and Landsat-7/8 1-band MNDWI images of coasts.   
 These Residual-UNet model data are based on 1-band MNDWI images of coasts and associated labels. 
 Models have been created</t>
        </is>
      </c>
      <c r="E235" s="8" t="inlineStr">
        <is>
          <t>.h5, .npz</t>
        </is>
      </c>
      <c r="F235" s="8" t="n">
        <v>30</v>
      </c>
      <c r="G235" s="8" t="n">
        <v>463.5</v>
      </c>
      <c r="H235" s="8" t="inlineStr"/>
      <c r="I235" s="8" t="inlineStr"/>
      <c r="J235" s="10" t="inlineStr"/>
    </row>
    <row r="236">
      <c r="A236" s="5" t="n">
        <v>235</v>
      </c>
      <c r="B236" s="6" t="inlineStr">
        <is>
          <t>18463827</t>
        </is>
      </c>
      <c r="C236" s="7" t="inlineStr">
        <is>
          <t>Dynamic neurovascular adaptation of the retina during high-altitude hypoxia: integrated analysis of ERG and OCTA changes</t>
        </is>
      </c>
      <c r="D236" s="7" t="inlineStr">
        <is>
          <t>This dataset contains Supplementary Table S1 (Directional analysis data of retinal vessel density) and Supplementary Figure S1 (Windmill plots) supporting the findings of the manuscript titled:Dynamic neurovascular adaptation of the retina during high-altitude hypoxia: integrated analysis of ERG and</t>
        </is>
      </c>
      <c r="E236" s="5" t="inlineStr">
        <is>
          <t>.tif</t>
        </is>
      </c>
      <c r="F236" s="5" t="n">
        <v>2</v>
      </c>
      <c r="G236" s="5" t="n">
        <v>1.1</v>
      </c>
      <c r="H236" s="5" t="inlineStr"/>
      <c r="I236" s="5" t="inlineStr"/>
      <c r="J236" s="7" t="inlineStr"/>
    </row>
    <row r="237">
      <c r="A237" s="8" t="n">
        <v>236</v>
      </c>
      <c r="B237" s="9" t="inlineStr">
        <is>
          <t>7557080</t>
        </is>
      </c>
      <c r="C237" s="10" t="inlineStr">
        <is>
          <t>Doodleverse/Segmentation Zoo Res-UNet models for 2-class (water, other) segmentation of Sentinel-2 and Landsat-7/8 1-ban</t>
        </is>
      </c>
      <c r="D237" s="10" t="inlineStr">
        <is>
          <t>Doodleverse/Segmentation Zoo Res-UNet models for 2-class (water, other) segmentation of Sentinel-2 and Landsat-7/8 1-band MNDWI images of coasts.   
 These Residual-UNet model data are based on MNDWI images of coasts and associated labels. 
 Models have been created using Segmentation Gym* using t</t>
        </is>
      </c>
      <c r="E237" s="8" t="inlineStr">
        <is>
          <t>.h5, .npz, .png</t>
        </is>
      </c>
      <c r="F237" s="8" t="n">
        <v>27</v>
      </c>
      <c r="G237" s="8" t="n">
        <v>332.4</v>
      </c>
      <c r="H237" s="8" t="inlineStr"/>
      <c r="I237" s="8" t="inlineStr"/>
      <c r="J237" s="10" t="inlineStr"/>
    </row>
    <row r="238">
      <c r="A238" s="5" t="n">
        <v>237</v>
      </c>
      <c r="B238" s="6" t="inlineStr">
        <is>
          <t>7648324</t>
        </is>
      </c>
      <c r="C238" s="7" t="inlineStr">
        <is>
          <t>SuperDARN Grid data in netCDF format (2013-Oct)</t>
        </is>
      </c>
      <c r="D238" s="7" t="inlineStr">
        <is>
          <t>2013-Oct SuperDARN radar data in netCDF format. These files were produced using versions 3.0 of the public FitACF and make_grid algorithms, using the AACGM v2 coordinate system. Cite this dataset if using our data in a publication.  The RST is available here: https://github.com/SuperDARN/rst  The re</t>
        </is>
      </c>
      <c r="E238" s="5" t="inlineStr"/>
      <c r="F238" s="5" t="n">
        <v>991</v>
      </c>
      <c r="G238" s="5" t="n">
        <v>870.2</v>
      </c>
      <c r="H238" s="5" t="inlineStr"/>
      <c r="I238" s="5" t="inlineStr"/>
      <c r="J238" s="7" t="inlineStr"/>
    </row>
    <row r="239">
      <c r="A239" s="8" t="n">
        <v>238</v>
      </c>
      <c r="B239" s="9" t="inlineStr">
        <is>
          <t>5217367</t>
        </is>
      </c>
      <c r="C239" s="10" t="inlineStr">
        <is>
          <t>Binary segmentation images for 3D segmentation model training</t>
        </is>
      </c>
      <c r="D239" s="10" t="inlineStr">
        <is>
          <t>Binary segmentation images for 3D segmentation model training</t>
        </is>
      </c>
      <c r="E239" s="8" t="inlineStr">
        <is>
          <t>.tif</t>
        </is>
      </c>
      <c r="F239" s="8" t="n">
        <v>4</v>
      </c>
      <c r="G239" s="8" t="n">
        <v>460.2</v>
      </c>
      <c r="H239" s="8" t="inlineStr"/>
      <c r="I239" s="8" t="inlineStr"/>
      <c r="J239" s="10" t="inlineStr"/>
    </row>
    <row r="240">
      <c r="A240" s="5" t="n">
        <v>239</v>
      </c>
      <c r="B240" s="6" t="inlineStr">
        <is>
          <t>7075342</t>
        </is>
      </c>
      <c r="C240" s="7" t="inlineStr">
        <is>
          <t>Detecting coarse beach sediment using remotely sensed imagery at the FRF, Duck, NC, USA: Labeled images, deep learning m</t>
        </is>
      </c>
      <c r="D240" s="7" t="inlineStr">
        <is>
          <t xml:space="preserve">This data record contains 5 zip files all used to build and use a semantic segmentation model to operate on beach imagery taken at the Field Research Facility (FRF) in Duck, North Carolina, USA.  All data is from 2015-2021 
 The `training_data.zip` contains all data used to train the ML model. All </t>
        </is>
      </c>
      <c r="E240" s="5" t="inlineStr">
        <is>
          <t>.zip</t>
        </is>
      </c>
      <c r="F240" s="5" t="n">
        <v>5</v>
      </c>
      <c r="G240" s="5" t="n">
        <v>2971.2</v>
      </c>
      <c r="H240" s="5" t="inlineStr"/>
      <c r="I240" s="5" t="inlineStr"/>
      <c r="J240" s="7" t="inlineStr"/>
    </row>
    <row r="241">
      <c r="A241" s="8" t="n">
        <v>240</v>
      </c>
      <c r="B241" s="9" t="inlineStr">
        <is>
          <t>1410499</t>
        </is>
      </c>
      <c r="C241" s="10" t="inlineStr">
        <is>
          <t>Data to "Retinal Blur from Natural Scenes and Eye Shape"</t>
        </is>
      </c>
      <c r="D241" s="10" t="inlineStr">
        <is>
          <t>This record contains experimental and analysis scripts (written in Matlab) as well as raw and processed data to reproduce the results shown in: 
  Maiello, G ., Harrison, W. J., Vera-Diaz, F. A., &amp; Bex, P. J. (in preparation). Retinal Blur from Natural Scenes and Eye Shape.</t>
        </is>
      </c>
      <c r="E241" s="8" t="inlineStr">
        <is>
          <t>.zip</t>
        </is>
      </c>
      <c r="F241" s="8" t="n">
        <v>1</v>
      </c>
      <c r="G241" s="8" t="n">
        <v>1799.7</v>
      </c>
      <c r="H241" s="8" t="inlineStr"/>
      <c r="I241" s="8" t="inlineStr"/>
      <c r="J241" s="10" t="inlineStr"/>
    </row>
    <row r="242">
      <c r="A242" s="5" t="n">
        <v>241</v>
      </c>
      <c r="B242" s="6" t="inlineStr">
        <is>
          <t>7609868</t>
        </is>
      </c>
      <c r="C242" s="7" t="inlineStr">
        <is>
          <t>Behavioral responses in an object segmentation task and neural responses during passive viewing</t>
        </is>
      </c>
      <c r="D242" s="7" t="inlineStr">
        <is>
          <t xml:space="preserve">The rodent visual system has attracted great interest in recent years due to its experimental tractability, but the fundamental mechanisms used by the mouse to represent the visual world remain unclear. In the primate, researchers have argued from both behavioral and neural evidence that a key step </t>
        </is>
      </c>
      <c r="E242" s="5" t="inlineStr">
        <is>
          <t>.zip</t>
        </is>
      </c>
      <c r="F242" s="5" t="n">
        <v>2</v>
      </c>
      <c r="G242" s="5" t="n">
        <v>82.8</v>
      </c>
      <c r="H242" s="5" t="inlineStr"/>
      <c r="I242" s="5" t="inlineStr"/>
      <c r="J242" s="7" t="inlineStr"/>
    </row>
    <row r="243">
      <c r="A243" s="8" t="n">
        <v>242</v>
      </c>
      <c r="B243" s="9" t="inlineStr">
        <is>
          <t>4976473</t>
        </is>
      </c>
      <c r="C243" s="10" t="inlineStr">
        <is>
          <t>Data from: Error-robust modes of the retinal population code</t>
        </is>
      </c>
      <c r="D243" s="10" t="inlineStr">
        <is>
          <t>Across the nervous system, certain population spiking patterns are observed far more frequently than others. A hypothesis about this structure is that these collective activity patterns function as population codewords–collective modes–carrying information distinct from that of any single cell. We i</t>
        </is>
      </c>
      <c r="E243" s="8" t="inlineStr">
        <is>
          <t>.zip</t>
        </is>
      </c>
      <c r="F243" s="8" t="n">
        <v>1</v>
      </c>
      <c r="G243" s="8" t="n">
        <v>83.5</v>
      </c>
      <c r="H243" s="8" t="inlineStr"/>
      <c r="I243" s="8" t="inlineStr"/>
      <c r="J243" s="10" t="inlineStr"/>
    </row>
    <row r="244">
      <c r="A244" s="5" t="n">
        <v>243</v>
      </c>
      <c r="B244" s="6" t="inlineStr">
        <is>
          <t>8096968</t>
        </is>
      </c>
      <c r="C244" s="7" t="inlineStr">
        <is>
          <t>Thrombospondin-1 Mediates Axon Regeneration in Retinal Ganglion Cells</t>
        </is>
      </c>
      <c r="D244" s="7" t="inlineStr">
        <is>
          <t xml:space="preserve">Novel Targets to Promote RGC Axon Regeneration (Park Lab) 
 The aim of this project is to idenity genes and lipids that give subtypes of retinal ganglion cells a greate propensity to regenerate axons and form function synaptic connections. This work has been published in the following manuscripts: </t>
        </is>
      </c>
      <c r="E244" s="5" t="inlineStr">
        <is>
          <t>.tar.gz</t>
        </is>
      </c>
      <c r="F244" s="5" t="n">
        <v>2</v>
      </c>
      <c r="G244" s="5" t="n">
        <v>18187.3</v>
      </c>
      <c r="H244" s="5" t="inlineStr"/>
      <c r="I244" s="5" t="inlineStr"/>
      <c r="J244" s="7" t="inlineStr"/>
    </row>
    <row r="245">
      <c r="A245" s="8" t="n">
        <v>244</v>
      </c>
      <c r="B245" s="9" t="inlineStr">
        <is>
          <t>5719204</t>
        </is>
      </c>
      <c r="C245" s="10" t="inlineStr">
        <is>
          <t>Multivesicular Release LIF Spike Data</t>
        </is>
      </c>
      <c r="D245" s="10" t="inlineStr">
        <is>
          <t>The statistics of vesicle release determine how information is transferred in neural 12 circuits. The classical model is of Poisson synapses releasing vesicles 13 independently but ribbon synapses transmit early sensory signals by 14 multivesicular release (MVR) when two or more vesicles are coordin</t>
        </is>
      </c>
      <c r="E245" s="8" t="inlineStr">
        <is>
          <t>.h5</t>
        </is>
      </c>
      <c r="F245" s="8" t="n">
        <v>4</v>
      </c>
      <c r="G245" s="8" t="n">
        <v>8304.799999999999</v>
      </c>
      <c r="H245" s="8" t="inlineStr"/>
      <c r="I245" s="8" t="inlineStr"/>
      <c r="J245" s="10" t="inlineStr"/>
    </row>
    <row r="246">
      <c r="A246" s="5" t="n">
        <v>245</v>
      </c>
      <c r="B246" s="6" t="inlineStr">
        <is>
          <t>4988269</t>
        </is>
      </c>
      <c r="C246" s="7" t="inlineStr">
        <is>
          <t>Data from: Spike-triggered covariance analysis reveals phenomenological diversity of contrast adaptation in the retina</t>
        </is>
      </c>
      <c r="D246" s="7" t="inlineStr">
        <is>
          <t>When visual contrast changes, retinal ganglion cells adapt by adjusting their sensitivity as well as their temporal filtering characteristics. The latter has classically been described by contrast-induced gain changes that depend on temporal frequency. Here, we explored a new perspective on contrast</t>
        </is>
      </c>
      <c r="E246" s="5" t="inlineStr">
        <is>
          <t>.zip</t>
        </is>
      </c>
      <c r="F246" s="5" t="n">
        <v>2</v>
      </c>
      <c r="G246" s="5" t="n">
        <v>60.3</v>
      </c>
      <c r="H246" s="5" t="inlineStr"/>
      <c r="I246" s="5" t="inlineStr"/>
      <c r="J246" s="7" t="inlineStr"/>
    </row>
    <row r="247">
      <c r="A247" s="8" t="n">
        <v>246</v>
      </c>
      <c r="B247" s="9" t="inlineStr">
        <is>
          <t>10778462</t>
        </is>
      </c>
      <c r="C247" s="10" t="inlineStr">
        <is>
          <t>Photoreceptor-like Signal Transduction Between Polymer-Based Protocells</t>
        </is>
      </c>
      <c r="D247" s="10" t="inlineStr">
        <is>
          <t>Deciphering inter- and intracellular signaling pathways is pivotal for understanding the intricate communication networks that orchestrate life's dynamics. Communication models involving bottom-up construction of protocells are emerging but often lack specialized compartments sufficiently robust and</t>
        </is>
      </c>
      <c r="E247" s="8" t="inlineStr">
        <is>
          <t>.zip</t>
        </is>
      </c>
      <c r="F247" s="8" t="n">
        <v>44</v>
      </c>
      <c r="G247" s="8" t="n">
        <v>7301.9</v>
      </c>
      <c r="H247" s="8" t="inlineStr"/>
      <c r="I247" s="8" t="inlineStr"/>
      <c r="J247" s="10" t="inlineStr"/>
    </row>
    <row r="248">
      <c r="A248" s="5" t="n">
        <v>247</v>
      </c>
      <c r="B248" s="6" t="inlineStr">
        <is>
          <t>6582341</t>
        </is>
      </c>
      <c r="C248" s="7" t="inlineStr">
        <is>
          <t>Maximum a posteriori natural scene reconstruction from retinal ganglion cells with deep denoiser priors</t>
        </is>
      </c>
      <c r="D248" s="7" t="inlineStr">
        <is>
          <t>Dataset for Maximum a posteriori natural scene reconstruction from retinal ganglion cells with deep denoiser priors 
Authors left anonymous for double-blind review</t>
        </is>
      </c>
      <c r="E248" s="5" t="inlineStr">
        <is>
          <t>.zip</t>
        </is>
      </c>
      <c r="F248" s="5" t="n">
        <v>1</v>
      </c>
      <c r="G248" s="5" t="n">
        <v>1383.3</v>
      </c>
      <c r="H248" s="5" t="inlineStr"/>
      <c r="I248" s="5" t="inlineStr"/>
      <c r="J248" s="7" t="inlineStr"/>
    </row>
    <row r="249">
      <c r="A249" s="8" t="n">
        <v>248</v>
      </c>
      <c r="B249" s="9" t="inlineStr">
        <is>
          <t>4992182</t>
        </is>
      </c>
      <c r="C249" s="10" t="inlineStr">
        <is>
          <t>Inference of nonlinear receptive field subunits with spike-triggered clustering</t>
        </is>
      </c>
      <c r="D249" s="10" t="inlineStr">
        <is>
          <t>Responses of sensory neurons are often modeled using a weighted combination of rectified linear subunits. Since these subunits often cannot be measured directly, a flexible method is needed to infer their properties from the responses of downstream neurons. We present a method for maximum likelihood</t>
        </is>
      </c>
      <c r="E249" s="8" t="inlineStr">
        <is>
          <t>.mat</t>
        </is>
      </c>
      <c r="F249" s="8" t="n">
        <v>5</v>
      </c>
      <c r="G249" s="8" t="n">
        <v>6452.3</v>
      </c>
      <c r="H249" s="8" t="inlineStr"/>
      <c r="I249" s="8" t="inlineStr"/>
      <c r="J249" s="10" t="inlineStr"/>
    </row>
    <row r="250">
      <c r="A250" s="5" t="n">
        <v>249</v>
      </c>
      <c r="B250" s="6" t="inlineStr">
        <is>
          <t>7574784</t>
        </is>
      </c>
      <c r="C250" s="7" t="inlineStr">
        <is>
          <t xml:space="preserve">Doodleverse/Segmentation Zoo/Seg2Map Res-UNet models for CoastTrain water/other segmentation of RGB 768x768 orthomosaic </t>
        </is>
      </c>
      <c r="D250" s="7" t="inlineStr">
        <is>
          <t>Doodleverse/Segmentation Zoo/Seg2Map Res-UNet models for CoastTrain water/other segmentation of RGB 768x768 orthomosaic images   
 These Residual-UNet model data are based on Coast Train images and associated labels. https://coasttrain.github.io/CoastTrain/docs/Version%201:%20March%202022/data 
 M</t>
        </is>
      </c>
      <c r="E250" s="5" t="inlineStr">
        <is>
          <t>.h5, .npz, .png</t>
        </is>
      </c>
      <c r="F250" s="5" t="n">
        <v>31</v>
      </c>
      <c r="G250" s="5" t="n">
        <v>398.5</v>
      </c>
      <c r="H250" s="5" t="inlineStr"/>
      <c r="I250" s="5" t="inlineStr"/>
      <c r="J250" s="7" t="inlineStr"/>
    </row>
  </sheetData>
  <autoFilter ref="A1:J250"/>
  <dataValidations count="2">
    <dataValidation sqref="H2:H250" showDropDown="0" showInputMessage="0" showErrorMessage="0" allowBlank="1" errorTitle="Invalid Label" error="Please select a valid label" promptTitle="Label" prompt="Select your classification" type="list">
      <formula1>"EYE_IMAGING,EYE_SOFTWARE,EDGE_CASE,NEGATIVE"</formula1>
    </dataValidation>
    <dataValidation sqref="I2:I250" showDropDown="0" showInputMessage="0" showErrorMessage="0" allowBlank="1" error="Enter a number 1–5" prompt="1=uncertain, 5=very certain" type="whole" operator="between">
      <formula1>1</formula1>
      <formula2>5</formula2>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B12"/>
  <sheetViews>
    <sheetView workbookViewId="0">
      <selection activeCell="A1" sqref="A1"/>
    </sheetView>
  </sheetViews>
  <sheetFormatPr baseColWidth="8" defaultRowHeight="15"/>
  <cols>
    <col width="20" customWidth="1" min="1" max="1"/>
    <col width="15" customWidth="1" min="2" max="2"/>
  </cols>
  <sheetData>
    <row r="1">
      <c r="A1" s="11" t="inlineStr">
        <is>
          <t>Validation Summary</t>
        </is>
      </c>
    </row>
    <row r="3">
      <c r="A3" s="12" t="inlineStr">
        <is>
          <t>Label</t>
        </is>
      </c>
      <c r="B3" t="inlineStr">
        <is>
          <t>Count</t>
        </is>
      </c>
    </row>
    <row r="4">
      <c r="A4" t="inlineStr">
        <is>
          <t>EYE_IMAGING</t>
        </is>
      </c>
      <c r="B4">
        <f>COUNTIF(Validation!H2:H250,"EYE_IMAGING")</f>
        <v/>
      </c>
    </row>
    <row r="5">
      <c r="A5" t="inlineStr">
        <is>
          <t>EYE_SOFTWARE</t>
        </is>
      </c>
      <c r="B5">
        <f>COUNTIF(Validation!H2:H250,"EYE_SOFTWARE")</f>
        <v/>
      </c>
    </row>
    <row r="6">
      <c r="A6" t="inlineStr">
        <is>
          <t>EDGE_CASE</t>
        </is>
      </c>
      <c r="B6">
        <f>COUNTIF(Validation!H2:H250,"EDGE_CASE")</f>
        <v/>
      </c>
    </row>
    <row r="7">
      <c r="A7" t="inlineStr">
        <is>
          <t>NEGATIVE</t>
        </is>
      </c>
      <c r="B7">
        <f>COUNTIF(Validation!H2:H250,"NEGATIVE")</f>
        <v/>
      </c>
    </row>
    <row r="8">
      <c r="A8" t="inlineStr">
        <is>
          <t>(blank)</t>
        </is>
      </c>
      <c r="B8">
        <f>COUNTBLANK(Validation!H2:H250)</f>
        <v/>
      </c>
    </row>
    <row r="10">
      <c r="A10" s="12" t="inlineStr">
        <is>
          <t>Total Annotated</t>
        </is>
      </c>
      <c r="B10">
        <f>COUNTA(Validation!H2:H250)</f>
        <v/>
      </c>
    </row>
    <row r="11">
      <c r="A11" s="12" t="inlineStr">
        <is>
          <t>Remaining</t>
        </is>
      </c>
      <c r="B11">
        <f>COUNTBLANK(Validation!H2:H250)</f>
        <v/>
      </c>
    </row>
    <row r="12">
      <c r="A12" s="12" t="inlineStr">
        <is>
          <t>% Complete</t>
        </is>
      </c>
      <c r="B12" s="13">
        <f>IF(COUNTA(Validation!H2:H250)=0,0,COUNTA(Validation!H2:H250)/249)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2026-02-18T18:00:46Z</dcterms:created>
  <dcterms:modified xmlns:dcterms="http://purl.org/dc/terms/" xmlns:xsi="http://www.w3.org/2001/XMLSchema-instance" xsi:type="dcterms:W3CDTF">2026-02-18T18:00:46Z</dcterms:modified>
</cp:coreProperties>
</file>